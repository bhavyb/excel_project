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ed_&amp;_White\Excel\"/>
    </mc:Choice>
  </mc:AlternateContent>
  <bookViews>
    <workbookView xWindow="0" yWindow="0" windowWidth="23040" windowHeight="9708" activeTab="2"/>
  </bookViews>
  <sheets>
    <sheet name="Sheet1" sheetId="1" r:id="rId1"/>
    <sheet name="Sheet4" sheetId="4" r:id="rId2"/>
    <sheet name="Sheet5" sheetId="5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C5" i="5"/>
  <c r="C4" i="5"/>
  <c r="C11" i="5"/>
  <c r="C10" i="5"/>
  <c r="C9" i="5"/>
  <c r="C8" i="5"/>
  <c r="C7" i="5"/>
  <c r="F13" i="5"/>
  <c r="F12" i="5"/>
  <c r="L4" i="5"/>
  <c r="K7" i="5"/>
  <c r="K6" i="5"/>
  <c r="K5" i="5"/>
  <c r="K4" i="5"/>
  <c r="K3" i="4"/>
  <c r="J4" i="5"/>
  <c r="I7" i="5"/>
  <c r="I6" i="5"/>
  <c r="I5" i="5"/>
  <c r="I4" i="5"/>
  <c r="H7" i="5"/>
  <c r="H6" i="5"/>
  <c r="H5" i="5"/>
  <c r="H4" i="5"/>
  <c r="G7" i="5"/>
  <c r="G6" i="5"/>
  <c r="G5" i="5"/>
  <c r="G4" i="5"/>
  <c r="F4" i="5"/>
  <c r="E4" i="5"/>
  <c r="C3" i="4"/>
  <c r="F12" i="4"/>
  <c r="F12" i="1"/>
  <c r="F11" i="1"/>
  <c r="F11" i="4"/>
  <c r="L3" i="4"/>
  <c r="K6" i="4"/>
  <c r="K5" i="4"/>
  <c r="K4" i="4"/>
  <c r="K6" i="1"/>
  <c r="K5" i="1"/>
  <c r="K4" i="1"/>
  <c r="K3" i="1"/>
  <c r="J3" i="4"/>
  <c r="I6" i="4"/>
  <c r="I5" i="4"/>
  <c r="I4" i="4"/>
  <c r="I3" i="4"/>
  <c r="H6" i="4"/>
  <c r="H5" i="4"/>
  <c r="H4" i="4"/>
  <c r="H3" i="4"/>
  <c r="G6" i="4"/>
  <c r="G5" i="4"/>
  <c r="G4" i="4"/>
  <c r="G3" i="4"/>
  <c r="F3" i="4"/>
  <c r="E3" i="4"/>
  <c r="C3" i="1"/>
  <c r="C11" i="1"/>
  <c r="C10" i="1"/>
  <c r="C9" i="1"/>
  <c r="C8" i="1"/>
  <c r="C7" i="1"/>
  <c r="C6" i="1"/>
  <c r="C5" i="1"/>
  <c r="C4" i="1"/>
  <c r="L3" i="1"/>
  <c r="J3" i="1"/>
  <c r="I4" i="1"/>
  <c r="I5" i="1"/>
  <c r="I6" i="1"/>
  <c r="I3" i="1"/>
  <c r="H5" i="1"/>
  <c r="H6" i="1"/>
  <c r="H4" i="1"/>
  <c r="H3" i="1"/>
  <c r="G6" i="1"/>
  <c r="G5" i="1"/>
  <c r="G4" i="1"/>
  <c r="G3" i="1"/>
  <c r="F3" i="1"/>
  <c r="E3" i="1"/>
  <c r="C9" i="4" l="1"/>
  <c r="C10" i="4"/>
  <c r="C4" i="4"/>
  <c r="C7" i="4" l="1"/>
  <c r="C6" i="4"/>
  <c r="C5" i="4"/>
  <c r="C8" i="4"/>
</calcChain>
</file>

<file path=xl/sharedStrings.xml><?xml version="1.0" encoding="utf-8"?>
<sst xmlns="http://schemas.openxmlformats.org/spreadsheetml/2006/main" count="72" uniqueCount="26">
  <si>
    <t>Lemonade Sold</t>
  </si>
  <si>
    <t>X</t>
  </si>
  <si>
    <t>Y</t>
  </si>
  <si>
    <t>Y = mX + c</t>
  </si>
  <si>
    <t>Calculation for Slope &amp; Intercept</t>
  </si>
  <si>
    <t>Pizza Size (inch)</t>
  </si>
  <si>
    <t>Price</t>
  </si>
  <si>
    <t>Estimated Price</t>
  </si>
  <si>
    <t>Mean (of X)</t>
  </si>
  <si>
    <t>Mean (of Y)</t>
  </si>
  <si>
    <t>Deviations (of X)</t>
  </si>
  <si>
    <t>Deviations (of Y)</t>
  </si>
  <si>
    <t>Product of Deviations</t>
  </si>
  <si>
    <t>Sum of Product of Deviations</t>
  </si>
  <si>
    <t>Square of Deviations (of X)</t>
  </si>
  <si>
    <t>Sum of Square of Deviations (of X)</t>
  </si>
  <si>
    <t>?</t>
  </si>
  <si>
    <r>
      <t xml:space="preserve">Slope (m) </t>
    </r>
    <r>
      <rPr>
        <sz val="11"/>
        <color theme="1"/>
        <rFont val="Arial"/>
        <family val="2"/>
      </rPr>
      <t>= Sum of Product of Deviations / Sum of Square of deviation for X</t>
    </r>
  </si>
  <si>
    <r>
      <t xml:space="preserve">Intercept (c) </t>
    </r>
    <r>
      <rPr>
        <sz val="11"/>
        <color theme="1"/>
        <rFont val="Arial"/>
        <family val="2"/>
      </rPr>
      <t>= Mean of Y - (m * Mean of X)</t>
    </r>
  </si>
  <si>
    <t>Slope (m) =</t>
  </si>
  <si>
    <t>Intercept (c) =</t>
  </si>
  <si>
    <t>Temperature (°C)</t>
  </si>
  <si>
    <t>Estimated Lemonade Sold</t>
  </si>
  <si>
    <t>🏠</t>
  </si>
  <si>
    <t>💰</t>
  </si>
  <si>
    <t>House Size (sq. ft.)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</si>
</sst>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b/>
      <sz val="14"/>
      <color rgb="FFBE5014"/>
      <name val="Aptos Narrow"/>
    </font>
    <font>
      <sz val="11"/>
      <color theme="1"/>
      <name val="Aptos Narrow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28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0E6F5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4" fontId="4" fillId="0" borderId="8" xfId="0" applyNumberFormat="1" applyFont="1" applyBorder="1" applyAlignment="1">
      <alignment horizontal="center" vertical="center" wrapText="1"/>
    </xf>
    <xf numFmtId="4" fontId="1" fillId="0" borderId="13" xfId="0" applyNumberFormat="1" applyFont="1" applyBorder="1" applyAlignment="1">
      <alignment vertical="center" wrapText="1"/>
    </xf>
    <xf numFmtId="4" fontId="1" fillId="0" borderId="8" xfId="0" applyNumberFormat="1" applyFont="1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zoomScaleNormal="100" workbookViewId="0">
      <selection activeCell="F12" sqref="F12"/>
    </sheetView>
  </sheetViews>
  <sheetFormatPr defaultColWidth="8.88671875" defaultRowHeight="14.4"/>
  <cols>
    <col min="1" max="1" width="14.77734375" customWidth="1"/>
    <col min="2" max="2" width="16.21875" customWidth="1"/>
    <col min="3" max="3" width="15.6640625" customWidth="1"/>
    <col min="4" max="4" width="9.109375" customWidth="1"/>
    <col min="5" max="5" width="14.5546875" bestFit="1" customWidth="1"/>
    <col min="6" max="6" width="12.21875" bestFit="1" customWidth="1"/>
    <col min="7" max="7" width="17.21875" bestFit="1" customWidth="1"/>
    <col min="8" max="8" width="17.33203125" bestFit="1" customWidth="1"/>
    <col min="9" max="9" width="22.21875" bestFit="1" customWidth="1"/>
    <col min="10" max="10" width="18.6640625" customWidth="1"/>
    <col min="11" max="11" width="23.5546875" customWidth="1"/>
    <col min="12" max="12" width="19.21875" customWidth="1"/>
  </cols>
  <sheetData>
    <row r="1" spans="1:12" ht="18" thickBot="1">
      <c r="A1" s="1" t="s">
        <v>1</v>
      </c>
      <c r="B1" s="2" t="s">
        <v>2</v>
      </c>
      <c r="C1" s="3" t="s">
        <v>3</v>
      </c>
      <c r="D1" s="4"/>
      <c r="E1" s="13" t="s">
        <v>4</v>
      </c>
      <c r="F1" s="14"/>
      <c r="G1" s="14"/>
      <c r="H1" s="14"/>
      <c r="I1" s="14"/>
      <c r="J1" s="14"/>
      <c r="K1" s="14"/>
      <c r="L1" s="15"/>
    </row>
    <row r="2" spans="1:12" ht="28.2" thickBot="1">
      <c r="A2" s="5" t="s">
        <v>5</v>
      </c>
      <c r="B2" s="6" t="s">
        <v>6</v>
      </c>
      <c r="C2" s="6" t="s">
        <v>7</v>
      </c>
      <c r="D2" s="4"/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</row>
    <row r="3" spans="1:12" ht="15" thickBot="1">
      <c r="A3" s="7">
        <v>8</v>
      </c>
      <c r="B3" s="8">
        <v>250</v>
      </c>
      <c r="C3" s="9">
        <f>(F11*A3)+F12</f>
        <v>215.85981308411215</v>
      </c>
      <c r="D3" s="4"/>
      <c r="E3" s="16">
        <f>AVERAGE(A3:A6)</f>
        <v>11.25</v>
      </c>
      <c r="F3" s="16">
        <f>AVERAGE(B3:B6)</f>
        <v>568.5</v>
      </c>
      <c r="G3" s="9">
        <f>E3-A3</f>
        <v>3.25</v>
      </c>
      <c r="H3" s="9">
        <f>F3-B3</f>
        <v>318.5</v>
      </c>
      <c r="I3" s="9">
        <f>G3*H3</f>
        <v>1035.125</v>
      </c>
      <c r="J3" s="16">
        <f>SUM(I3:I6)</f>
        <v>2902.5</v>
      </c>
      <c r="K3" s="9">
        <f>G3*G3</f>
        <v>10.5625</v>
      </c>
      <c r="L3" s="16">
        <f>SUM(K3:K6)</f>
        <v>26.75</v>
      </c>
    </row>
    <row r="4" spans="1:12" ht="15" thickBot="1">
      <c r="A4" s="7">
        <v>10</v>
      </c>
      <c r="B4" s="8">
        <v>400</v>
      </c>
      <c r="C4" s="9">
        <f>(F11*A4)+F12</f>
        <v>432.86915887850478</v>
      </c>
      <c r="D4" s="4"/>
      <c r="E4" s="17"/>
      <c r="F4" s="17"/>
      <c r="G4" s="9">
        <f>E3-A4</f>
        <v>1.25</v>
      </c>
      <c r="H4" s="9">
        <f>F3-B4</f>
        <v>168.5</v>
      </c>
      <c r="I4" s="9">
        <f t="shared" ref="I4:I6" si="0">G4*H4</f>
        <v>210.625</v>
      </c>
      <c r="J4" s="17"/>
      <c r="K4" s="9">
        <f>G4*G4</f>
        <v>1.5625</v>
      </c>
      <c r="L4" s="17"/>
    </row>
    <row r="5" spans="1:12" ht="15" thickBot="1">
      <c r="A5" s="7">
        <v>12</v>
      </c>
      <c r="B5" s="8">
        <v>625</v>
      </c>
      <c r="C5" s="9">
        <f>(F11*A5)+F12</f>
        <v>649.87850467289718</v>
      </c>
      <c r="D5" s="4"/>
      <c r="E5" s="17"/>
      <c r="F5" s="17"/>
      <c r="G5" s="9">
        <f>E3-A5</f>
        <v>-0.75</v>
      </c>
      <c r="H5" s="9">
        <f>F3-B5</f>
        <v>-56.5</v>
      </c>
      <c r="I5" s="9">
        <f t="shared" si="0"/>
        <v>42.375</v>
      </c>
      <c r="J5" s="17"/>
      <c r="K5" s="9">
        <f>G5*G5</f>
        <v>0.5625</v>
      </c>
      <c r="L5" s="17"/>
    </row>
    <row r="6" spans="1:12" ht="15" thickBot="1">
      <c r="A6" s="7">
        <v>15</v>
      </c>
      <c r="B6" s="8">
        <v>999</v>
      </c>
      <c r="C6" s="9">
        <f>(F11*A6)+F12</f>
        <v>975.3925233644859</v>
      </c>
      <c r="D6" s="4"/>
      <c r="E6" s="18"/>
      <c r="F6" s="18"/>
      <c r="G6" s="9">
        <f>E3-A6</f>
        <v>-3.75</v>
      </c>
      <c r="H6" s="9">
        <f>F3-B6</f>
        <v>-430.5</v>
      </c>
      <c r="I6" s="9">
        <f t="shared" si="0"/>
        <v>1614.375</v>
      </c>
      <c r="J6" s="18"/>
      <c r="K6" s="9">
        <f>G6*G6</f>
        <v>14.0625</v>
      </c>
      <c r="L6" s="18"/>
    </row>
    <row r="7" spans="1:12" ht="15" thickBot="1">
      <c r="A7" s="7">
        <v>17</v>
      </c>
      <c r="B7" s="8" t="s">
        <v>16</v>
      </c>
      <c r="C7" s="9">
        <f>(F11*A7)+F12</f>
        <v>1192.4018691588785</v>
      </c>
      <c r="D7" s="10"/>
      <c r="E7" s="11"/>
      <c r="F7" s="11"/>
      <c r="G7" s="11"/>
      <c r="H7" s="11"/>
      <c r="I7" s="11"/>
      <c r="J7" s="11"/>
      <c r="K7" s="10"/>
      <c r="L7" s="10"/>
    </row>
    <row r="8" spans="1:12" ht="27.6" customHeight="1" thickBot="1">
      <c r="A8" s="7">
        <v>18</v>
      </c>
      <c r="B8" s="8" t="s">
        <v>16</v>
      </c>
      <c r="C8" s="9">
        <f>(F11*A8)+F12</f>
        <v>1300.9065420560748</v>
      </c>
      <c r="D8" s="4"/>
      <c r="E8" s="19" t="s">
        <v>17</v>
      </c>
      <c r="F8" s="20"/>
      <c r="G8" s="20"/>
      <c r="H8" s="20"/>
      <c r="I8" s="20"/>
      <c r="J8" s="21"/>
      <c r="K8" s="10"/>
      <c r="L8" s="10"/>
    </row>
    <row r="9" spans="1:12" ht="15" thickBot="1">
      <c r="A9" s="7">
        <v>20</v>
      </c>
      <c r="B9" s="8" t="s">
        <v>16</v>
      </c>
      <c r="C9" s="9">
        <f>(F11*A9)+F12</f>
        <v>1517.9158878504675</v>
      </c>
      <c r="D9" s="4"/>
      <c r="E9" s="19" t="s">
        <v>18</v>
      </c>
      <c r="F9" s="20"/>
      <c r="G9" s="20"/>
      <c r="H9" s="20"/>
      <c r="I9" s="20"/>
      <c r="J9" s="21"/>
      <c r="K9" s="10"/>
      <c r="L9" s="10"/>
    </row>
    <row r="10" spans="1:12" ht="15" thickBot="1">
      <c r="A10" s="7">
        <v>22</v>
      </c>
      <c r="B10" s="8" t="s">
        <v>16</v>
      </c>
      <c r="C10" s="9">
        <f>(F11*A10)+F12</f>
        <v>1734.9252336448596</v>
      </c>
      <c r="D10" s="10"/>
      <c r="E10" s="11"/>
      <c r="F10" s="11"/>
      <c r="G10" s="10"/>
      <c r="H10" s="10"/>
      <c r="I10" s="10"/>
      <c r="J10" s="10"/>
      <c r="K10" s="10"/>
      <c r="L10" s="10"/>
    </row>
    <row r="11" spans="1:12" ht="15" thickBot="1">
      <c r="A11" s="7">
        <v>26</v>
      </c>
      <c r="B11" s="8" t="s">
        <v>16</v>
      </c>
      <c r="C11" s="9">
        <f>(F11*A11)+F12</f>
        <v>2168.9439252336451</v>
      </c>
      <c r="D11" s="4"/>
      <c r="E11" s="12" t="s">
        <v>19</v>
      </c>
      <c r="F11" s="9">
        <f>J3/L3</f>
        <v>108.50467289719626</v>
      </c>
      <c r="G11" s="10"/>
      <c r="H11" s="10"/>
      <c r="I11" s="10"/>
      <c r="J11" s="10"/>
      <c r="K11" s="10"/>
      <c r="L11" s="10"/>
    </row>
    <row r="12" spans="1:12" ht="15" thickBot="1">
      <c r="A12" s="10"/>
      <c r="B12" s="10"/>
      <c r="C12" s="10"/>
      <c r="D12" s="4"/>
      <c r="E12" s="12" t="s">
        <v>20</v>
      </c>
      <c r="F12" s="9">
        <f>F3-(F11*E3)</f>
        <v>-652.17757009345792</v>
      </c>
      <c r="G12" s="10"/>
      <c r="H12" s="10"/>
      <c r="I12" s="10"/>
      <c r="J12" s="10"/>
      <c r="K12" s="10"/>
      <c r="L12" s="10"/>
    </row>
  </sheetData>
  <mergeCells count="7">
    <mergeCell ref="E9:J9"/>
    <mergeCell ref="E1:L1"/>
    <mergeCell ref="E3:E6"/>
    <mergeCell ref="F3:F6"/>
    <mergeCell ref="J3:J6"/>
    <mergeCell ref="L3:L6"/>
    <mergeCell ref="E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K3" sqref="K3"/>
    </sheetView>
  </sheetViews>
  <sheetFormatPr defaultRowHeight="14.4"/>
  <cols>
    <col min="1" max="1" width="19" customWidth="1"/>
    <col min="2" max="2" width="18.33203125" customWidth="1"/>
    <col min="3" max="3" width="17.109375" customWidth="1"/>
    <col min="5" max="5" width="15.6640625" customWidth="1"/>
    <col min="6" max="6" width="16.44140625" customWidth="1"/>
    <col min="7" max="7" width="17.5546875" customWidth="1"/>
    <col min="8" max="8" width="19.77734375" customWidth="1"/>
    <col min="9" max="9" width="19.21875" customWidth="1"/>
    <col min="10" max="10" width="18.6640625" customWidth="1"/>
    <col min="11" max="11" width="17.109375" customWidth="1"/>
    <col min="12" max="12" width="18.5546875" customWidth="1"/>
  </cols>
  <sheetData>
    <row r="1" spans="1:12" ht="52.8" thickBot="1">
      <c r="A1" s="1" t="s">
        <v>1</v>
      </c>
      <c r="B1" s="2" t="s">
        <v>2</v>
      </c>
      <c r="C1" s="3" t="s">
        <v>3</v>
      </c>
      <c r="D1" s="4"/>
      <c r="E1" s="13" t="s">
        <v>4</v>
      </c>
      <c r="F1" s="14"/>
      <c r="G1" s="14"/>
      <c r="H1" s="14"/>
      <c r="I1" s="14"/>
      <c r="J1" s="14"/>
      <c r="K1" s="14"/>
      <c r="L1" s="15"/>
    </row>
    <row r="2" spans="1:12" ht="83.4" thickBot="1">
      <c r="A2" s="5" t="s">
        <v>21</v>
      </c>
      <c r="B2" s="6" t="s">
        <v>0</v>
      </c>
      <c r="C2" s="6" t="s">
        <v>22</v>
      </c>
      <c r="D2" s="4"/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</row>
    <row r="3" spans="1:12" ht="15" thickBot="1">
      <c r="A3" s="7">
        <v>25</v>
      </c>
      <c r="B3" s="8">
        <v>50</v>
      </c>
      <c r="C3" s="9">
        <f>(F11*A3)+F12</f>
        <v>50</v>
      </c>
      <c r="D3" s="4"/>
      <c r="E3" s="16">
        <f>AVERAGE(A3:A6)</f>
        <v>32.5</v>
      </c>
      <c r="F3" s="16">
        <f>AVERAGE(B3:B6)</f>
        <v>80</v>
      </c>
      <c r="G3" s="9">
        <f>E3-A3</f>
        <v>7.5</v>
      </c>
      <c r="H3" s="9">
        <f>F3-B3</f>
        <v>30</v>
      </c>
      <c r="I3" s="9">
        <f>G3*H3</f>
        <v>225</v>
      </c>
      <c r="J3" s="16">
        <f>SUM(I3:I6)</f>
        <v>500</v>
      </c>
      <c r="K3" s="9">
        <f>G3*G3</f>
        <v>56.25</v>
      </c>
      <c r="L3" s="16">
        <f>SUM(K3:K6)</f>
        <v>125</v>
      </c>
    </row>
    <row r="4" spans="1:12" ht="15" thickBot="1">
      <c r="A4" s="7">
        <v>30</v>
      </c>
      <c r="B4" s="8">
        <v>70</v>
      </c>
      <c r="C4" s="9">
        <f>(F11*A4)+F12</f>
        <v>70</v>
      </c>
      <c r="D4" s="4"/>
      <c r="E4" s="17"/>
      <c r="F4" s="17"/>
      <c r="G4" s="9">
        <f>E3-A4</f>
        <v>2.5</v>
      </c>
      <c r="H4" s="9">
        <f>F3-B4</f>
        <v>10</v>
      </c>
      <c r="I4" s="9">
        <f>G4*H4</f>
        <v>25</v>
      </c>
      <c r="J4" s="17"/>
      <c r="K4" s="9">
        <f>G4*G4</f>
        <v>6.25</v>
      </c>
      <c r="L4" s="17"/>
    </row>
    <row r="5" spans="1:12" ht="15" thickBot="1">
      <c r="A5" s="7">
        <v>35</v>
      </c>
      <c r="B5" s="8">
        <v>90</v>
      </c>
      <c r="C5" s="9">
        <f>(F11*A5)+F12</f>
        <v>90</v>
      </c>
      <c r="D5" s="4"/>
      <c r="E5" s="17"/>
      <c r="F5" s="17"/>
      <c r="G5" s="9">
        <f>E3-A5</f>
        <v>-2.5</v>
      </c>
      <c r="H5" s="9">
        <f>F3-B5</f>
        <v>-10</v>
      </c>
      <c r="I5" s="9">
        <f>G5*H5</f>
        <v>25</v>
      </c>
      <c r="J5" s="17"/>
      <c r="K5" s="9">
        <f>G5*G5</f>
        <v>6.25</v>
      </c>
      <c r="L5" s="17"/>
    </row>
    <row r="6" spans="1:12" ht="15" thickBot="1">
      <c r="A6" s="7">
        <v>40</v>
      </c>
      <c r="B6" s="8">
        <v>110</v>
      </c>
      <c r="C6" s="9">
        <f>(F11*A6)+F12</f>
        <v>110</v>
      </c>
      <c r="D6" s="4"/>
      <c r="E6" s="18"/>
      <c r="F6" s="18"/>
      <c r="G6" s="9">
        <f>E3-A6</f>
        <v>-7.5</v>
      </c>
      <c r="H6" s="9">
        <f>F3-B6</f>
        <v>-30</v>
      </c>
      <c r="I6" s="9">
        <f>G6*H6</f>
        <v>225</v>
      </c>
      <c r="J6" s="18"/>
      <c r="K6" s="9">
        <f>G6*G6</f>
        <v>56.25</v>
      </c>
      <c r="L6" s="18"/>
    </row>
    <row r="7" spans="1:12" ht="15" thickBot="1">
      <c r="A7" s="7">
        <v>42</v>
      </c>
      <c r="B7" s="8" t="s">
        <v>16</v>
      </c>
      <c r="C7" s="9">
        <f>(F11*A7)+F12</f>
        <v>118</v>
      </c>
      <c r="D7" s="10"/>
      <c r="E7" s="11"/>
      <c r="F7" s="11"/>
      <c r="G7" s="11"/>
      <c r="H7" s="11"/>
      <c r="I7" s="11"/>
      <c r="J7" s="11"/>
      <c r="K7" s="10"/>
      <c r="L7" s="10"/>
    </row>
    <row r="8" spans="1:12" ht="27.6" customHeight="1" thickBot="1">
      <c r="A8" s="7">
        <v>44</v>
      </c>
      <c r="B8" s="8" t="s">
        <v>16</v>
      </c>
      <c r="C8" s="9">
        <f>(F11*A8)+F12</f>
        <v>126</v>
      </c>
      <c r="D8" s="4"/>
      <c r="E8" s="19" t="s">
        <v>17</v>
      </c>
      <c r="F8" s="20"/>
      <c r="G8" s="20"/>
      <c r="H8" s="20"/>
      <c r="I8" s="20"/>
      <c r="J8" s="21"/>
      <c r="K8" s="10"/>
      <c r="L8" s="10"/>
    </row>
    <row r="9" spans="1:12" ht="15" thickBot="1">
      <c r="A9" s="7">
        <v>45</v>
      </c>
      <c r="B9" s="8" t="s">
        <v>16</v>
      </c>
      <c r="C9" s="9">
        <f>(F11*A9)+F12</f>
        <v>130</v>
      </c>
      <c r="D9" s="4"/>
      <c r="E9" s="19" t="s">
        <v>18</v>
      </c>
      <c r="F9" s="20"/>
      <c r="G9" s="20"/>
      <c r="H9" s="20"/>
      <c r="I9" s="20"/>
      <c r="J9" s="21"/>
      <c r="K9" s="10"/>
      <c r="L9" s="10"/>
    </row>
    <row r="10" spans="1:12" ht="15" thickBot="1">
      <c r="A10" s="7">
        <v>47</v>
      </c>
      <c r="B10" s="8" t="s">
        <v>16</v>
      </c>
      <c r="C10" s="9">
        <f>(F11*A10)+F12</f>
        <v>138</v>
      </c>
      <c r="D10" s="10"/>
      <c r="E10" s="11"/>
      <c r="F10" s="11"/>
      <c r="G10" s="10"/>
      <c r="H10" s="10"/>
      <c r="I10" s="10"/>
      <c r="J10" s="10"/>
      <c r="K10" s="10"/>
      <c r="L10" s="10"/>
    </row>
    <row r="11" spans="1:12" ht="15" thickBot="1">
      <c r="A11" s="10"/>
      <c r="B11" s="10"/>
      <c r="C11" s="10"/>
      <c r="D11" s="4"/>
      <c r="E11" s="12" t="s">
        <v>19</v>
      </c>
      <c r="F11" s="9">
        <f>J3/L3</f>
        <v>4</v>
      </c>
      <c r="G11" s="10"/>
      <c r="H11" s="10"/>
      <c r="I11" s="10"/>
      <c r="J11" s="10"/>
      <c r="K11" s="10"/>
      <c r="L11" s="10"/>
    </row>
    <row r="12" spans="1:12" ht="28.2" thickBot="1">
      <c r="A12" s="10"/>
      <c r="B12" s="10"/>
      <c r="C12" s="10"/>
      <c r="D12" s="4"/>
      <c r="E12" s="12" t="s">
        <v>20</v>
      </c>
      <c r="F12" s="9">
        <f>F3-(F11*E3)</f>
        <v>-50</v>
      </c>
      <c r="G12" s="10"/>
      <c r="H12" s="10"/>
      <c r="I12" s="10"/>
      <c r="J12" s="10"/>
      <c r="K12" s="10"/>
      <c r="L12" s="10"/>
    </row>
  </sheetData>
  <mergeCells count="7">
    <mergeCell ref="E9:J9"/>
    <mergeCell ref="E1:L1"/>
    <mergeCell ref="E3:E6"/>
    <mergeCell ref="F3:F6"/>
    <mergeCell ref="J3:J6"/>
    <mergeCell ref="L3:L6"/>
    <mergeCell ref="E8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C7" sqref="C7"/>
    </sheetView>
  </sheetViews>
  <sheetFormatPr defaultRowHeight="14.4"/>
  <cols>
    <col min="1" max="1" width="22.33203125" customWidth="1"/>
    <col min="2" max="2" width="17.77734375" customWidth="1"/>
    <col min="3" max="3" width="17.5546875" customWidth="1"/>
    <col min="5" max="5" width="15.33203125" customWidth="1"/>
    <col min="6" max="6" width="16.88671875" customWidth="1"/>
    <col min="7" max="7" width="18" customWidth="1"/>
    <col min="8" max="8" width="18.21875" customWidth="1"/>
    <col min="9" max="9" width="17.77734375" customWidth="1"/>
    <col min="10" max="10" width="17.44140625" customWidth="1"/>
    <col min="11" max="11" width="15.44140625" customWidth="1"/>
    <col min="12" max="12" width="21.109375" customWidth="1"/>
  </cols>
  <sheetData>
    <row r="1" spans="1:12" ht="35.4" thickBot="1">
      <c r="A1" s="22" t="s">
        <v>23</v>
      </c>
      <c r="B1" s="23" t="s">
        <v>24</v>
      </c>
      <c r="C1" s="10"/>
      <c r="D1" s="10"/>
      <c r="E1" s="24"/>
      <c r="F1" s="25"/>
      <c r="G1" s="25"/>
      <c r="H1" s="25"/>
      <c r="I1" s="25"/>
      <c r="J1" s="25"/>
      <c r="K1" s="25"/>
      <c r="L1" s="26"/>
    </row>
    <row r="2" spans="1:12" ht="18" thickBot="1">
      <c r="A2" s="5" t="s">
        <v>1</v>
      </c>
      <c r="B2" s="6" t="s">
        <v>2</v>
      </c>
      <c r="C2" s="3" t="s">
        <v>3</v>
      </c>
      <c r="D2" s="4"/>
      <c r="E2" s="13" t="s">
        <v>4</v>
      </c>
      <c r="F2" s="14"/>
      <c r="G2" s="14"/>
      <c r="H2" s="14"/>
      <c r="I2" s="14"/>
      <c r="J2" s="14"/>
      <c r="K2" s="14"/>
      <c r="L2" s="15"/>
    </row>
    <row r="3" spans="1:12" ht="42" thickBot="1">
      <c r="A3" s="5" t="s">
        <v>25</v>
      </c>
      <c r="B3" s="6" t="s">
        <v>6</v>
      </c>
      <c r="C3" s="6" t="s">
        <v>7</v>
      </c>
      <c r="D3" s="4"/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</row>
    <row r="4" spans="1:12" ht="15" thickBot="1">
      <c r="A4" s="7">
        <v>1000</v>
      </c>
      <c r="B4" s="27">
        <v>2000000</v>
      </c>
      <c r="C4" s="9">
        <f>(F12*A4)+F13</f>
        <v>2000000</v>
      </c>
      <c r="D4" s="4"/>
      <c r="E4" s="16">
        <f>AVERAGE(A4:A7)</f>
        <v>1750</v>
      </c>
      <c r="F4" s="28">
        <f>AVERAGE(B4:B7)</f>
        <v>2750000</v>
      </c>
      <c r="G4" s="9">
        <f>$E$4-A4</f>
        <v>750</v>
      </c>
      <c r="H4" s="29">
        <f>$F$4-B4</f>
        <v>750000</v>
      </c>
      <c r="I4" s="9">
        <f>G4*H4</f>
        <v>562500000</v>
      </c>
      <c r="J4" s="16">
        <f>SUM(I4:I7)</f>
        <v>1250000000</v>
      </c>
      <c r="K4" s="9">
        <f>G4*G4</f>
        <v>562500</v>
      </c>
      <c r="L4" s="16">
        <f>SUM(K4:K7)</f>
        <v>1250000</v>
      </c>
    </row>
    <row r="5" spans="1:12" ht="15" thickBot="1">
      <c r="A5" s="7">
        <v>1500</v>
      </c>
      <c r="B5" s="27">
        <v>2500000</v>
      </c>
      <c r="C5" s="9">
        <f>(F12*A5)+F13</f>
        <v>2500000</v>
      </c>
      <c r="D5" s="4"/>
      <c r="E5" s="17"/>
      <c r="F5" s="17"/>
      <c r="G5" s="9">
        <f>$E$4-A5</f>
        <v>250</v>
      </c>
      <c r="H5" s="29">
        <f>$F$4-B5</f>
        <v>250000</v>
      </c>
      <c r="I5" s="9">
        <f>G5*H5</f>
        <v>62500000</v>
      </c>
      <c r="J5" s="17"/>
      <c r="K5" s="9">
        <f>G5*G5</f>
        <v>62500</v>
      </c>
      <c r="L5" s="17"/>
    </row>
    <row r="6" spans="1:12" ht="15" thickBot="1">
      <c r="A6" s="7">
        <v>2000</v>
      </c>
      <c r="B6" s="27">
        <v>3000000</v>
      </c>
      <c r="C6" s="9">
        <f>(F12*A6)+F13</f>
        <v>3000000</v>
      </c>
      <c r="D6" s="4"/>
      <c r="E6" s="17"/>
      <c r="F6" s="17"/>
      <c r="G6" s="9">
        <f>$E$4-A6</f>
        <v>-250</v>
      </c>
      <c r="H6" s="29">
        <f>$F$4-B6</f>
        <v>-250000</v>
      </c>
      <c r="I6" s="9">
        <f>G6*H6</f>
        <v>62500000</v>
      </c>
      <c r="J6" s="17"/>
      <c r="K6" s="9">
        <f>G6*G6</f>
        <v>62500</v>
      </c>
      <c r="L6" s="17"/>
    </row>
    <row r="7" spans="1:12" ht="15" thickBot="1">
      <c r="A7" s="7">
        <v>2500</v>
      </c>
      <c r="B7" s="27">
        <v>3500000</v>
      </c>
      <c r="C7" s="9">
        <f>(F12*A7)+F13</f>
        <v>3500000</v>
      </c>
      <c r="D7" s="4"/>
      <c r="E7" s="18"/>
      <c r="F7" s="18"/>
      <c r="G7" s="9">
        <f>$E$4-A7</f>
        <v>-750</v>
      </c>
      <c r="H7" s="29">
        <f>$F$4-B7</f>
        <v>-750000</v>
      </c>
      <c r="I7" s="9">
        <f>G7*H7</f>
        <v>562500000</v>
      </c>
      <c r="J7" s="18"/>
      <c r="K7" s="9">
        <f>G7*G7</f>
        <v>562500</v>
      </c>
      <c r="L7" s="18"/>
    </row>
    <row r="8" spans="1:12" ht="15" thickBot="1">
      <c r="A8" s="7">
        <v>2800</v>
      </c>
      <c r="B8" s="8" t="s">
        <v>16</v>
      </c>
      <c r="C8" s="9">
        <f>(F12*A8)+F13</f>
        <v>3800000</v>
      </c>
      <c r="D8" s="10"/>
      <c r="E8" s="11"/>
      <c r="F8" s="11"/>
      <c r="G8" s="11"/>
      <c r="H8" s="11"/>
      <c r="I8" s="11"/>
      <c r="J8" s="11"/>
      <c r="K8" s="10"/>
      <c r="L8" s="10"/>
    </row>
    <row r="9" spans="1:12" ht="15" thickBot="1">
      <c r="A9" s="7">
        <v>3000</v>
      </c>
      <c r="B9" s="8" t="s">
        <v>16</v>
      </c>
      <c r="C9" s="9">
        <f>(F12*A9)+F13</f>
        <v>4000000</v>
      </c>
      <c r="D9" s="4"/>
      <c r="E9" s="19" t="s">
        <v>17</v>
      </c>
      <c r="F9" s="20"/>
      <c r="G9" s="20"/>
      <c r="H9" s="20"/>
      <c r="I9" s="20"/>
      <c r="J9" s="21"/>
      <c r="K9" s="10"/>
      <c r="L9" s="10"/>
    </row>
    <row r="10" spans="1:12" ht="15" thickBot="1">
      <c r="A10" s="7">
        <v>3250</v>
      </c>
      <c r="B10" s="8" t="s">
        <v>16</v>
      </c>
      <c r="C10" s="9">
        <f>(F12*A10)+F13</f>
        <v>4250000</v>
      </c>
      <c r="D10" s="4"/>
      <c r="E10" s="19" t="s">
        <v>18</v>
      </c>
      <c r="F10" s="20"/>
      <c r="G10" s="20"/>
      <c r="H10" s="20"/>
      <c r="I10" s="20"/>
      <c r="J10" s="21"/>
      <c r="K10" s="10"/>
      <c r="L10" s="10"/>
    </row>
    <row r="11" spans="1:12" ht="15" thickBot="1">
      <c r="A11" s="7">
        <v>3500</v>
      </c>
      <c r="B11" s="8" t="s">
        <v>16</v>
      </c>
      <c r="C11" s="9">
        <f>(F12*A11)+F13</f>
        <v>4500000</v>
      </c>
      <c r="D11" s="10"/>
      <c r="E11" s="11"/>
      <c r="F11" s="11"/>
      <c r="G11" s="10"/>
      <c r="H11" s="10"/>
      <c r="I11" s="10"/>
      <c r="J11" s="10"/>
      <c r="K11" s="10"/>
      <c r="L11" s="10"/>
    </row>
    <row r="12" spans="1:12" ht="15" thickBot="1">
      <c r="A12" s="10"/>
      <c r="B12" s="10"/>
      <c r="C12" s="10"/>
      <c r="D12" s="4"/>
      <c r="E12" s="12" t="s">
        <v>19</v>
      </c>
      <c r="F12" s="9">
        <f>J4/L4</f>
        <v>1000</v>
      </c>
      <c r="G12" s="10"/>
      <c r="H12" s="10"/>
      <c r="I12" s="10"/>
      <c r="J12" s="10"/>
      <c r="K12" s="10"/>
      <c r="L12" s="10"/>
    </row>
    <row r="13" spans="1:12" ht="15" thickBot="1">
      <c r="A13" s="10"/>
      <c r="B13" s="10"/>
      <c r="C13" s="10"/>
      <c r="D13" s="4"/>
      <c r="E13" s="12" t="s">
        <v>20</v>
      </c>
      <c r="F13" s="9">
        <f>F4-(F12*E4)</f>
        <v>1000000</v>
      </c>
      <c r="G13" s="10"/>
      <c r="H13" s="10"/>
      <c r="I13" s="10"/>
      <c r="J13" s="10"/>
      <c r="K13" s="10"/>
      <c r="L13" s="10"/>
    </row>
  </sheetData>
  <mergeCells count="8">
    <mergeCell ref="E9:J9"/>
    <mergeCell ref="E10:J10"/>
    <mergeCell ref="E1:L1"/>
    <mergeCell ref="E2:L2"/>
    <mergeCell ref="E4:E7"/>
    <mergeCell ref="F4:F7"/>
    <mergeCell ref="J4:J7"/>
    <mergeCell ref="L4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2026-03-20T10:52:33Z</dcterms:created>
  <dcterms:modified xsi:type="dcterms:W3CDTF">2026-03-21T13:14:27Z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3FBD98F8AC184BE8B2F43C28065A81AC_11</vt:lpwstr>
  </property>
  <property fmtid="{D5CDD505-2E9C-101B-9397-08002B2CF9AE}" pid="3" name="KSOProductBuildVer">
    <vt:lpwstr>2057-12.2.0.23197</vt:lpwstr>
  </property>
</Properties>
</file>
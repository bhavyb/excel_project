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d_&amp;_White\excel_project\Final_Project\"/>
    </mc:Choice>
  </mc:AlternateContent>
  <bookViews>
    <workbookView xWindow="0" yWindow="0" windowWidth="23040" windowHeight="9156" tabRatio="500" activeTab="3"/>
  </bookViews>
  <sheets>
    <sheet name="Raw Data" sheetId="1" r:id="rId1"/>
    <sheet name="Analysis" sheetId="2" r:id="rId2"/>
    <sheet name="Visualizations" sheetId="3" r:id="rId3"/>
    <sheet name="Dashboard" sheetId="4" r:id="rId4"/>
    <sheet name="Insights Report" sheetId="5" r:id="rId5"/>
  </sheets>
  <definedNames>
    <definedName name="_xlnm._FilterDatabase" localSheetId="0" hidden="1">'Raw Data'!$A$1:$N$1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8" i="4" l="1"/>
  <c r="G8" i="4"/>
  <c r="E36" i="2" l="1"/>
  <c r="A2" i="5"/>
  <c r="R34" i="4"/>
  <c r="Q34" i="4"/>
  <c r="R33" i="4"/>
  <c r="Q33" i="4"/>
  <c r="R32" i="4"/>
  <c r="Q32" i="4"/>
  <c r="R31" i="4"/>
  <c r="Q31" i="4"/>
  <c r="R30" i="4"/>
  <c r="Q30" i="4"/>
  <c r="R29" i="4"/>
  <c r="Q29" i="4"/>
  <c r="R28" i="4"/>
  <c r="Q28" i="4"/>
  <c r="R27" i="4"/>
  <c r="Q27" i="4"/>
  <c r="R26" i="4"/>
  <c r="Q26" i="4"/>
  <c r="E26" i="4"/>
  <c r="D26" i="4"/>
  <c r="R25" i="4"/>
  <c r="Q25" i="4"/>
  <c r="K25" i="4"/>
  <c r="J25" i="4"/>
  <c r="E25" i="4"/>
  <c r="D25" i="4"/>
  <c r="R24" i="4"/>
  <c r="Q24" i="4"/>
  <c r="K24" i="4"/>
  <c r="J24" i="4"/>
  <c r="E24" i="4"/>
  <c r="D24" i="4"/>
  <c r="R23" i="4"/>
  <c r="Q23" i="4"/>
  <c r="K23" i="4"/>
  <c r="J23" i="4"/>
  <c r="E23" i="4"/>
  <c r="D23" i="4"/>
  <c r="K22" i="4"/>
  <c r="J22" i="4"/>
  <c r="E22" i="4"/>
  <c r="D22" i="4"/>
  <c r="K18" i="4"/>
  <c r="J18" i="4"/>
  <c r="I18" i="4"/>
  <c r="K17" i="4"/>
  <c r="J17" i="4"/>
  <c r="I17" i="4"/>
  <c r="Q16" i="4"/>
  <c r="P16" i="4"/>
  <c r="K16" i="4"/>
  <c r="J16" i="4"/>
  <c r="I16" i="4"/>
  <c r="D16" i="4"/>
  <c r="C16" i="4"/>
  <c r="B16" i="4"/>
  <c r="Q15" i="4"/>
  <c r="P15" i="4"/>
  <c r="K15" i="4"/>
  <c r="J15" i="4"/>
  <c r="I15" i="4"/>
  <c r="D15" i="4"/>
  <c r="C15" i="4"/>
  <c r="B15" i="4"/>
  <c r="Q14" i="4"/>
  <c r="P14" i="4"/>
  <c r="K14" i="4"/>
  <c r="J14" i="4"/>
  <c r="I14" i="4"/>
  <c r="D14" i="4"/>
  <c r="C14" i="4"/>
  <c r="B14" i="4"/>
  <c r="S8" i="4"/>
  <c r="A8" i="4"/>
  <c r="S4" i="4"/>
  <c r="M4" i="4"/>
  <c r="G4" i="4"/>
  <c r="A4" i="4"/>
  <c r="B35" i="3"/>
  <c r="B34" i="3"/>
  <c r="B33" i="3"/>
  <c r="B32" i="3"/>
  <c r="B31" i="3"/>
  <c r="O26" i="3"/>
  <c r="O25" i="3"/>
  <c r="O24" i="3"/>
  <c r="O10" i="3"/>
  <c r="O23" i="3"/>
  <c r="O9" i="3"/>
  <c r="O22" i="3"/>
  <c r="O8" i="3"/>
  <c r="D148" i="2"/>
  <c r="D147" i="2"/>
  <c r="D146" i="2"/>
  <c r="D145" i="2"/>
  <c r="D144" i="2"/>
  <c r="D143" i="2"/>
  <c r="D142" i="2"/>
  <c r="D141" i="2"/>
  <c r="D140" i="2"/>
  <c r="D139" i="2"/>
  <c r="D138" i="2"/>
  <c r="D137" i="2"/>
  <c r="F136" i="2"/>
  <c r="E136" i="2"/>
  <c r="D136" i="2"/>
  <c r="B128" i="2"/>
  <c r="B130" i="2" s="1"/>
  <c r="D121" i="2"/>
  <c r="F121" i="2" s="1"/>
  <c r="D120" i="2"/>
  <c r="F120" i="2" s="1"/>
  <c r="D118" i="2"/>
  <c r="D123" i="2" s="1"/>
  <c r="F113" i="2"/>
  <c r="F112" i="2"/>
  <c r="F111" i="2"/>
  <c r="F110" i="2"/>
  <c r="F109" i="2"/>
  <c r="F108" i="2"/>
  <c r="F107" i="2"/>
  <c r="F106" i="2"/>
  <c r="F105" i="2"/>
  <c r="F104" i="2"/>
  <c r="F99" i="2"/>
  <c r="E99" i="2"/>
  <c r="D99" i="2"/>
  <c r="C99" i="2"/>
  <c r="B99" i="2"/>
  <c r="F98" i="2"/>
  <c r="E98" i="2"/>
  <c r="D98" i="2"/>
  <c r="C98" i="2"/>
  <c r="B98" i="2"/>
  <c r="F97" i="2"/>
  <c r="E97" i="2"/>
  <c r="D97" i="2"/>
  <c r="C97" i="2"/>
  <c r="B97" i="2"/>
  <c r="F96" i="2"/>
  <c r="E96" i="2"/>
  <c r="D96" i="2"/>
  <c r="C96" i="2"/>
  <c r="B96" i="2"/>
  <c r="F95" i="2"/>
  <c r="E95" i="2"/>
  <c r="D95" i="2"/>
  <c r="C95" i="2"/>
  <c r="B95" i="2"/>
  <c r="F94" i="2"/>
  <c r="E94" i="2"/>
  <c r="D94" i="2"/>
  <c r="C94" i="2"/>
  <c r="B94" i="2"/>
  <c r="F93" i="2"/>
  <c r="E93" i="2"/>
  <c r="D93" i="2"/>
  <c r="C93" i="2"/>
  <c r="B93" i="2"/>
  <c r="F92" i="2"/>
  <c r="E92" i="2"/>
  <c r="D92" i="2"/>
  <c r="C92" i="2"/>
  <c r="B92" i="2"/>
  <c r="F91" i="2"/>
  <c r="E91" i="2"/>
  <c r="D91" i="2"/>
  <c r="C91" i="2"/>
  <c r="B91" i="2"/>
  <c r="F90" i="2"/>
  <c r="E90" i="2"/>
  <c r="D90" i="2"/>
  <c r="C90" i="2"/>
  <c r="B90" i="2"/>
  <c r="C80" i="2"/>
  <c r="D80" i="2" s="1"/>
  <c r="B80" i="2"/>
  <c r="E80" i="2" s="1"/>
  <c r="C79" i="2"/>
  <c r="F79" i="2" s="1"/>
  <c r="B79" i="2"/>
  <c r="E79" i="2" s="1"/>
  <c r="D78" i="2"/>
  <c r="C78" i="2"/>
  <c r="F78" i="2" s="1"/>
  <c r="B78" i="2"/>
  <c r="E78" i="2" s="1"/>
  <c r="E77" i="2"/>
  <c r="C77" i="2"/>
  <c r="D77" i="2" s="1"/>
  <c r="B77" i="2"/>
  <c r="F72" i="2"/>
  <c r="E72" i="2"/>
  <c r="D72" i="2"/>
  <c r="C72" i="2"/>
  <c r="F71" i="2"/>
  <c r="E71" i="2"/>
  <c r="D71" i="2"/>
  <c r="C71" i="2"/>
  <c r="F70" i="2"/>
  <c r="E70" i="2"/>
  <c r="D70" i="2"/>
  <c r="C70" i="2"/>
  <c r="F69" i="2"/>
  <c r="E69" i="2"/>
  <c r="D69" i="2"/>
  <c r="C69" i="2"/>
  <c r="F68" i="2"/>
  <c r="E68" i="2"/>
  <c r="D68" i="2"/>
  <c r="C68" i="2"/>
  <c r="F67" i="2"/>
  <c r="E67" i="2"/>
  <c r="D67" i="2"/>
  <c r="C67" i="2"/>
  <c r="F66" i="2"/>
  <c r="E66" i="2"/>
  <c r="D66" i="2"/>
  <c r="C66" i="2"/>
  <c r="F65" i="2"/>
  <c r="E65" i="2"/>
  <c r="D65" i="2"/>
  <c r="C65" i="2"/>
  <c r="F64" i="2"/>
  <c r="E64" i="2"/>
  <c r="D64" i="2"/>
  <c r="C64" i="2"/>
  <c r="F63" i="2"/>
  <c r="E63" i="2"/>
  <c r="D63" i="2"/>
  <c r="C63" i="2"/>
  <c r="F58" i="2"/>
  <c r="E58" i="2"/>
  <c r="D58" i="2"/>
  <c r="E57" i="2"/>
  <c r="F57" i="2" s="1"/>
  <c r="D57" i="2"/>
  <c r="E56" i="2"/>
  <c r="D56" i="2"/>
  <c r="F56" i="2" s="1"/>
  <c r="E55" i="2"/>
  <c r="D55" i="2"/>
  <c r="F55" i="2" s="1"/>
  <c r="F54" i="2"/>
  <c r="E54" i="2"/>
  <c r="D54" i="2"/>
  <c r="E53" i="2"/>
  <c r="D53" i="2"/>
  <c r="F53" i="2" s="1"/>
  <c r="E52" i="2"/>
  <c r="D52" i="2"/>
  <c r="F52" i="2" s="1"/>
  <c r="E51" i="2"/>
  <c r="D51" i="2"/>
  <c r="F51" i="2" s="1"/>
  <c r="F50" i="2"/>
  <c r="E50" i="2"/>
  <c r="D50" i="2"/>
  <c r="E49" i="2"/>
  <c r="F49" i="2" s="1"/>
  <c r="D49" i="2"/>
  <c r="D44" i="2"/>
  <c r="C44" i="2"/>
  <c r="B44" i="2"/>
  <c r="F44" i="2" s="1"/>
  <c r="C43" i="2"/>
  <c r="B43" i="2"/>
  <c r="D43" i="2" s="1"/>
  <c r="C42" i="2"/>
  <c r="B42" i="2"/>
  <c r="E42" i="2" s="1"/>
  <c r="D37" i="2"/>
  <c r="C37" i="2"/>
  <c r="B37" i="2"/>
  <c r="F37" i="2" s="1"/>
  <c r="D36" i="2"/>
  <c r="C36" i="2"/>
  <c r="B36" i="2"/>
  <c r="F36" i="2" s="1"/>
  <c r="D35" i="2"/>
  <c r="C35" i="2"/>
  <c r="B35" i="2"/>
  <c r="E35" i="2" s="1"/>
  <c r="F34" i="2"/>
  <c r="D34" i="2"/>
  <c r="C34" i="2"/>
  <c r="B34" i="2"/>
  <c r="F33" i="2" s="1"/>
  <c r="D33" i="2"/>
  <c r="C33" i="2"/>
  <c r="B33" i="2"/>
  <c r="E33" i="2" s="1"/>
  <c r="D29" i="2"/>
  <c r="C29" i="2"/>
  <c r="B29" i="2"/>
  <c r="E29" i="2" s="1"/>
  <c r="E28" i="2"/>
  <c r="D28" i="2"/>
  <c r="C28" i="2"/>
  <c r="B28" i="2"/>
  <c r="D27" i="2"/>
  <c r="C27" i="2"/>
  <c r="B27" i="2"/>
  <c r="E27" i="2" s="1"/>
  <c r="D22" i="2"/>
  <c r="D21" i="2"/>
  <c r="D20" i="2"/>
  <c r="D19" i="2"/>
  <c r="D18" i="2"/>
  <c r="D17" i="2"/>
  <c r="D16" i="2"/>
  <c r="D15" i="2"/>
  <c r="D10" i="2"/>
  <c r="D9" i="2"/>
  <c r="D8" i="2"/>
  <c r="D7" i="2"/>
  <c r="D6" i="2"/>
  <c r="D5" i="2"/>
  <c r="D4" i="2"/>
  <c r="D3" i="2"/>
  <c r="C50" i="3"/>
  <c r="C45" i="3"/>
  <c r="C48" i="3"/>
  <c r="C43" i="3"/>
  <c r="C44" i="3"/>
  <c r="C46" i="3"/>
  <c r="C47" i="3"/>
  <c r="C49" i="3"/>
  <c r="C51" i="3"/>
  <c r="C39" i="3"/>
  <c r="C41" i="3"/>
  <c r="C42" i="3"/>
  <c r="C40" i="3"/>
  <c r="L24" i="4" l="1"/>
  <c r="M22" i="4"/>
  <c r="T15" i="4"/>
  <c r="F15" i="4"/>
  <c r="L16" i="4"/>
  <c r="S14" i="4"/>
  <c r="L23" i="4"/>
  <c r="F16" i="4"/>
  <c r="M14" i="4"/>
  <c r="L25" i="4"/>
  <c r="L15" i="4"/>
  <c r="S15" i="4"/>
  <c r="M18" i="4"/>
  <c r="T16" i="4"/>
  <c r="E15" i="4"/>
  <c r="L18" i="4"/>
  <c r="T14" i="4"/>
  <c r="E16" i="4"/>
  <c r="R16" i="4"/>
  <c r="M17" i="4"/>
  <c r="F14" i="4"/>
  <c r="E123" i="2"/>
  <c r="F123" i="2"/>
  <c r="M23" i="4"/>
  <c r="M24" i="4"/>
  <c r="M25" i="4"/>
  <c r="F35" i="2"/>
  <c r="E44" i="2"/>
  <c r="E121" i="2"/>
  <c r="E14" i="4"/>
  <c r="R15" i="4"/>
  <c r="S16" i="4"/>
  <c r="L22" i="4"/>
  <c r="F28" i="2"/>
  <c r="F29" i="2"/>
  <c r="E37" i="2"/>
  <c r="D119" i="2"/>
  <c r="B129" i="2"/>
  <c r="R14" i="4"/>
  <c r="F27" i="2"/>
  <c r="F42" i="2"/>
  <c r="E34" i="2"/>
  <c r="D122" i="2"/>
  <c r="M16" i="4"/>
  <c r="F80" i="2"/>
  <c r="F43" i="2"/>
  <c r="D42" i="2"/>
  <c r="E120" i="2"/>
  <c r="L14" i="4"/>
  <c r="M15" i="4"/>
  <c r="L17" i="4"/>
  <c r="E43" i="2"/>
  <c r="F77" i="2"/>
  <c r="D79" i="2"/>
  <c r="E119" i="2" l="1"/>
  <c r="F119" i="2"/>
  <c r="F122" i="2"/>
  <c r="E122" i="2"/>
</calcChain>
</file>

<file path=xl/sharedStrings.xml><?xml version="1.0" encoding="utf-8"?>
<sst xmlns="http://schemas.openxmlformats.org/spreadsheetml/2006/main" count="3196" uniqueCount="952">
  <si>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</si>
  <si>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</si>
  <si>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</si>
  <si>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</si>
  <si>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</si>
  <si>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</si>
  <si>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</si>
  <si>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</si>
  <si>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</si>
  <si>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</si>
  <si>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</si>
  <si>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</si>
  <si>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</si>
  <si>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</si>
  <si>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TRX0155</t>
  </si>
  <si>
    <t>2024-04-11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</si>
  <si>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</si>
  <si>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</si>
  <si>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</si>
  <si>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</si>
  <si>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</si>
  <si>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</si>
  <si>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</si>
  <si>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</si>
  <si>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2021-08-17</t>
  </si>
  <si>
    <t>TRX0023</t>
  </si>
  <si>
    <t>2024-04-14</t>
  </si>
  <si>
    <t>CUST013</t>
  </si>
  <si>
    <t>Joseph Jackson</t>
  </si>
  <si>
    <t>Credit Card</t>
  </si>
  <si>
    <t>Premium</t>
  </si>
  <si>
    <t>2022-01-14</t>
  </si>
  <si>
    <t>TRX0139</t>
  </si>
  <si>
    <t>2024-04-17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</si>
  <si>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</si>
  <si>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</si>
  <si>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</si>
  <si>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</si>
  <si>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</si>
  <si>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</si>
  <si>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</si>
  <si>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</si>
  <si>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2023-12-02</t>
  </si>
  <si>
    <t>TRX0043</t>
  </si>
  <si>
    <t>2024-04-18</t>
  </si>
  <si>
    <t>CUST046</t>
  </si>
  <si>
    <t>Kathleen Bennett</t>
  </si>
  <si>
    <t>North</t>
  </si>
  <si>
    <t>2023-07-07</t>
  </si>
  <si>
    <t>TRX0212</t>
  </si>
  <si>
    <t>CUST003</t>
  </si>
  <si>
    <t>Michael Brown</t>
  </si>
  <si>
    <t>P008</t>
  </si>
  <si>
    <t>Bookshelf</t>
  </si>
  <si>
    <t>Furniture</t>
  </si>
  <si>
    <t>2024-01-04</t>
  </si>
  <si>
    <t>TRX0092</t>
  </si>
  <si>
    <t>2024-04-21</t>
  </si>
  <si>
    <t>CUST024</t>
  </si>
  <si>
    <t>Dorothy Nelson</t>
  </si>
  <si>
    <t>West</t>
  </si>
  <si>
    <t>2022-07-04</t>
  </si>
  <si>
    <t>TRX0193</t>
  </si>
  <si>
    <t>P003</t>
  </si>
  <si>
    <t>Headphones</t>
  </si>
  <si>
    <t>2021-08-10</t>
  </si>
  <si>
    <t>TRX0240</t>
  </si>
  <si>
    <t>CUST017</t>
  </si>
  <si>
    <t>Charles Allen</t>
  </si>
  <si>
    <t>Debit Card</t>
  </si>
  <si>
    <t>2023-03-22</t>
  </si>
  <si>
    <t>TRX0135</t>
  </si>
  <si>
    <t>2024-04-23</t>
  </si>
  <si>
    <t>CUST009</t>
  </si>
  <si>
    <t>Robert Thomas</t>
  </si>
  <si>
    <t>P001</t>
  </si>
  <si>
    <t>Laptop</t>
  </si>
  <si>
    <t>East</t>
  </si>
  <si>
    <t>2024-01-08</t>
  </si>
  <si>
    <t>TRX0185</t>
  </si>
  <si>
    <t>2024-04-26</t>
  </si>
  <si>
    <t>CUST026</t>
  </si>
  <si>
    <t>Karen Hill</t>
  </si>
  <si>
    <t>2023-10-08</t>
  </si>
  <si>
    <t>TRX0138</t>
  </si>
  <si>
    <t>CUST022</t>
  </si>
  <si>
    <t>Susan Green</t>
  </si>
  <si>
    <t>2023-06-26</t>
  </si>
  <si>
    <t>TRX0209</t>
  </si>
  <si>
    <t>2022-09-26</t>
  </si>
  <si>
    <t>TRX0246</t>
  </si>
  <si>
    <t>CUST041</t>
  </si>
  <si>
    <t>Peter Richardson</t>
  </si>
  <si>
    <t>2022-09-02</t>
  </si>
  <si>
    <t>TRX0067</t>
  </si>
  <si>
    <t>2024-04-27</t>
  </si>
  <si>
    <t>CUST043</t>
  </si>
  <si>
    <t>Dennis Gray</t>
  </si>
  <si>
    <t>2024-02-29</t>
  </si>
  <si>
    <t>TRX0191</t>
  </si>
  <si>
    <t>CUST038</t>
  </si>
  <si>
    <t>Michelle Rogers</t>
  </si>
  <si>
    <t>P002</t>
  </si>
  <si>
    <t>Smartphone</t>
  </si>
  <si>
    <t>2022-01-16</t>
  </si>
  <si>
    <t>TRX0230</t>
  </si>
  <si>
    <t>CUST027</t>
  </si>
  <si>
    <t>George Adams</t>
  </si>
  <si>
    <t>2022-12-25</t>
  </si>
  <si>
    <t>TRX0049</t>
  </si>
  <si>
    <t>2024-04-28</t>
  </si>
  <si>
    <t>CUST025</t>
  </si>
  <si>
    <t>Mark Carter</t>
  </si>
  <si>
    <t>2024-03-23</t>
  </si>
  <si>
    <t>TRX0134</t>
  </si>
  <si>
    <t>CUST010</t>
  </si>
  <si>
    <t>Maria Garcia</t>
  </si>
  <si>
    <t>2022-08-08</t>
  </si>
  <si>
    <t>TRX0122</t>
  </si>
  <si>
    <t>2024-02-05</t>
  </si>
  <si>
    <t>TRX0222</t>
  </si>
  <si>
    <t>CUST048</t>
  </si>
  <si>
    <t>Virginia Sanders</t>
  </si>
  <si>
    <t>2023-10-25</t>
  </si>
  <si>
    <t>TRX0231</t>
  </si>
  <si>
    <t>2024-04-30</t>
  </si>
  <si>
    <t>CUST018</t>
  </si>
  <si>
    <t>Barbara Young</t>
  </si>
  <si>
    <t>2023-08-29</t>
  </si>
  <si>
    <t>TRX0239</t>
  </si>
  <si>
    <t>2024-05-01</t>
  </si>
  <si>
    <t>CUST012</t>
  </si>
  <si>
    <t>Patricia Moore</t>
  </si>
  <si>
    <t>2021-08-01</t>
  </si>
  <si>
    <t>TRX0204</t>
  </si>
  <si>
    <t>2024-05-03</t>
  </si>
  <si>
    <t>CUST044</t>
  </si>
  <si>
    <t>Cynthia Price</t>
  </si>
  <si>
    <t>2021-09-29</t>
  </si>
  <si>
    <t>TRX0242</t>
  </si>
  <si>
    <t>2024-05-04</t>
  </si>
  <si>
    <t>P007</t>
  </si>
  <si>
    <t>Desk</t>
  </si>
  <si>
    <t>2022-06-04</t>
  </si>
  <si>
    <t>TRX0071</t>
  </si>
  <si>
    <t>2024-05-10</t>
  </si>
  <si>
    <t>CUST036</t>
  </si>
  <si>
    <t>Nancy Collins</t>
  </si>
  <si>
    <t>2021-11-25</t>
  </si>
  <si>
    <t>TRX0040</t>
  </si>
  <si>
    <t>2024-05-12</t>
  </si>
  <si>
    <t>2023-08-30</t>
  </si>
  <si>
    <t>TRX0235</t>
  </si>
  <si>
    <t>CUST014</t>
  </si>
  <si>
    <t>Linda Martin</t>
  </si>
  <si>
    <t>P004</t>
  </si>
  <si>
    <t>Coffee Maker</t>
  </si>
  <si>
    <t>2023-03-27</t>
  </si>
  <si>
    <t>TRX0004</t>
  </si>
  <si>
    <t>P010</t>
  </si>
  <si>
    <t>Keyboard</t>
  </si>
  <si>
    <t>2022-12-24</t>
  </si>
  <si>
    <t>TRX0063</t>
  </si>
  <si>
    <t>2024-05-13</t>
  </si>
  <si>
    <t>CUST030</t>
  </si>
  <si>
    <t>Helen Roberts</t>
  </si>
  <si>
    <t>2023-10-15</t>
  </si>
  <si>
    <t>TRX0241</t>
  </si>
  <si>
    <t>2024-05-15</t>
  </si>
  <si>
    <t>CUST029</t>
  </si>
  <si>
    <t>Edward Mitchell</t>
  </si>
  <si>
    <t>2022-11-02</t>
  </si>
  <si>
    <t>TRX0029</t>
  </si>
  <si>
    <t>P006</t>
  </si>
  <si>
    <t>Office Chair</t>
  </si>
  <si>
    <t>2021-08-04</t>
  </si>
  <si>
    <t>TRX0194</t>
  </si>
  <si>
    <t>2024-05-16</t>
  </si>
  <si>
    <t>CUST006</t>
  </si>
  <si>
    <t>Lisa Anderson</t>
  </si>
  <si>
    <t>2022-09-19</t>
  </si>
  <si>
    <t>TRX0130</t>
  </si>
  <si>
    <t>2024-05-18</t>
  </si>
  <si>
    <t>CUST002</t>
  </si>
  <si>
    <t>Emma Wilson</t>
  </si>
  <si>
    <t>2023-05-22</t>
  </si>
  <si>
    <t>TRX0041</t>
  </si>
  <si>
    <t>2024-05-20</t>
  </si>
  <si>
    <t>2022-01-17</t>
  </si>
  <si>
    <t>TRX0232</t>
  </si>
  <si>
    <t>2024-05-22</t>
  </si>
  <si>
    <t>2022-09-20</t>
  </si>
  <si>
    <t>TRX0021</t>
  </si>
  <si>
    <t>2024-05-23</t>
  </si>
  <si>
    <t>2023-04-30</t>
  </si>
  <si>
    <t>TRX0245</t>
  </si>
  <si>
    <t>2024-05-26</t>
  </si>
  <si>
    <t>CUST031</t>
  </si>
  <si>
    <t>Steven Turner</t>
  </si>
  <si>
    <t>2024-01-01</t>
  </si>
  <si>
    <t>TRX0015</t>
  </si>
  <si>
    <t>2024-05-28</t>
  </si>
  <si>
    <t>CUST008</t>
  </si>
  <si>
    <t>Jennifer Taylor</t>
  </si>
  <si>
    <t>2021-07-30</t>
  </si>
  <si>
    <t>TRX0202</t>
  </si>
  <si>
    <t>2024-05-29</t>
  </si>
  <si>
    <t>CUST035</t>
  </si>
  <si>
    <t>Harry Morgan</t>
  </si>
  <si>
    <t>2023-07-13</t>
  </si>
  <si>
    <t>TRX0042</t>
  </si>
  <si>
    <t>2024-05-31</t>
  </si>
  <si>
    <t>CUST019</t>
  </si>
  <si>
    <t>Daniel King</t>
  </si>
  <si>
    <t>2022-12-22</t>
  </si>
  <si>
    <t>TRX0128</t>
  </si>
  <si>
    <t>2024-06-01</t>
  </si>
  <si>
    <t>CUST040</t>
  </si>
  <si>
    <t>Sharon Butler</t>
  </si>
  <si>
    <t>2024-04-08</t>
  </si>
  <si>
    <t>TRX0117</t>
  </si>
  <si>
    <t>2023-08-03</t>
  </si>
  <si>
    <t>TRX0208</t>
  </si>
  <si>
    <t>2024-06-03</t>
  </si>
  <si>
    <t>CUST004</t>
  </si>
  <si>
    <t>Sarah Davis</t>
  </si>
  <si>
    <t>2022-01-26</t>
  </si>
  <si>
    <t>TRX0234</t>
  </si>
  <si>
    <t>2024-06-06</t>
  </si>
  <si>
    <t>2022-05-26</t>
  </si>
  <si>
    <t>TRX0121</t>
  </si>
  <si>
    <t>CUST028</t>
  </si>
  <si>
    <t>Betty Campbell</t>
  </si>
  <si>
    <t>2022-01-21</t>
  </si>
  <si>
    <t>TRX0220</t>
  </si>
  <si>
    <t>2024-06-07</t>
  </si>
  <si>
    <t>2022-03-25</t>
  </si>
  <si>
    <t>TRX0093</t>
  </si>
  <si>
    <t>2024-06-09</t>
  </si>
  <si>
    <t>CUST050</t>
  </si>
  <si>
    <t>Julie Foster</t>
  </si>
  <si>
    <t>2021-08-27</t>
  </si>
  <si>
    <t>TRX0088</t>
  </si>
  <si>
    <t>2024-06-13</t>
  </si>
  <si>
    <t>2022-01-18</t>
  </si>
  <si>
    <t>TRX0115</t>
  </si>
  <si>
    <t>2024-06-16</t>
  </si>
  <si>
    <t>2021-10-02</t>
  </si>
  <si>
    <t>TRX0154</t>
  </si>
  <si>
    <t>2023-02-17</t>
  </si>
  <si>
    <t>TRX0044</t>
  </si>
  <si>
    <t>2023-12-18</t>
  </si>
  <si>
    <t>TRX0061</t>
  </si>
  <si>
    <t>2024-06-17</t>
  </si>
  <si>
    <t>2023-09-21</t>
  </si>
  <si>
    <t>TRX0150</t>
  </si>
  <si>
    <t>2023-11-23</t>
  </si>
  <si>
    <t>TRX0025</t>
  </si>
  <si>
    <t>2024-06-25</t>
  </si>
  <si>
    <t>CUST049</t>
  </si>
  <si>
    <t>Raymond Ross</t>
  </si>
  <si>
    <t>2023-12-21</t>
  </si>
  <si>
    <t>TRX0078</t>
  </si>
  <si>
    <t>2024-06-26</t>
  </si>
  <si>
    <t>2024-03-01</t>
  </si>
  <si>
    <t>TRX0007</t>
  </si>
  <si>
    <t>2021-08-30</t>
  </si>
  <si>
    <t>TRX0184</t>
  </si>
  <si>
    <t>2024-06-28</t>
  </si>
  <si>
    <t>2023-06-25</t>
  </si>
  <si>
    <t>TRX0104</t>
  </si>
  <si>
    <t>2023-03-08</t>
  </si>
  <si>
    <t>TRX0127</t>
  </si>
  <si>
    <t>2024-06-29</t>
  </si>
  <si>
    <t>2022-10-17</t>
  </si>
  <si>
    <t>TRX0096</t>
  </si>
  <si>
    <t>2024-07-01</t>
  </si>
  <si>
    <t>2023-12-15</t>
  </si>
  <si>
    <t>TRX0192</t>
  </si>
  <si>
    <t>2024-07-02</t>
  </si>
  <si>
    <t>2022-08-29</t>
  </si>
  <si>
    <t>TRX0052</t>
  </si>
  <si>
    <t>2024-07-03</t>
  </si>
  <si>
    <t>2022-02-19</t>
  </si>
  <si>
    <t>TRX0070</t>
  </si>
  <si>
    <t>CUST007</t>
  </si>
  <si>
    <t>David Martinez</t>
  </si>
  <si>
    <t>2023-02-24</t>
  </si>
  <si>
    <t>TRX0086</t>
  </si>
  <si>
    <t>2024-07-08</t>
  </si>
  <si>
    <t>CUST020</t>
  </si>
  <si>
    <t>Margaret Wright</t>
  </si>
  <si>
    <t>2021-08-13</t>
  </si>
  <si>
    <t>TRX0113</t>
  </si>
  <si>
    <t>2024-04-07</t>
  </si>
  <si>
    <t>TRX0114</t>
  </si>
  <si>
    <t>2023-08-23</t>
  </si>
  <si>
    <t>TRX0136</t>
  </si>
  <si>
    <t>2024-07-09</t>
  </si>
  <si>
    <t>2021-11-09</t>
  </si>
  <si>
    <t>TRX0018</t>
  </si>
  <si>
    <t>2024-07-11</t>
  </si>
  <si>
    <t>2022-12-14</t>
  </si>
  <si>
    <t>TRX0141</t>
  </si>
  <si>
    <t>CUST033</t>
  </si>
  <si>
    <t>Frank Torres</t>
  </si>
  <si>
    <t>2022-11-26</t>
  </si>
  <si>
    <t>TRX0097</t>
  </si>
  <si>
    <t>2024-07-14</t>
  </si>
  <si>
    <t>2021-12-11</t>
  </si>
  <si>
    <t>TRX0169</t>
  </si>
  <si>
    <t>2024-07-17</t>
  </si>
  <si>
    <t>CUST047</t>
  </si>
  <si>
    <t>Gerald Murphy</t>
  </si>
  <si>
    <t>2023-07-23</t>
  </si>
  <si>
    <t>TRX0216</t>
  </si>
  <si>
    <t>2023-09-30</t>
  </si>
  <si>
    <t>TRX0131</t>
  </si>
  <si>
    <t>2024-07-18</t>
  </si>
  <si>
    <t>2023-11-24</t>
  </si>
  <si>
    <t>TRX0162</t>
  </si>
  <si>
    <t>2024-07-23</t>
  </si>
  <si>
    <t>2023-09-10</t>
  </si>
  <si>
    <t>TRX0244</t>
  </si>
  <si>
    <t>2024-07-24</t>
  </si>
  <si>
    <t>2022-12-04</t>
  </si>
  <si>
    <t>TRX0006</t>
  </si>
  <si>
    <t>2024-07-25</t>
  </si>
  <si>
    <t>2023-08-14</t>
  </si>
  <si>
    <t>TRX0215</t>
  </si>
  <si>
    <t>2023-07-20</t>
  </si>
  <si>
    <t>TRX0080</t>
  </si>
  <si>
    <t>2024-07-27</t>
  </si>
  <si>
    <t>2023-08-26</t>
  </si>
  <si>
    <t>TRX0228</t>
  </si>
  <si>
    <t>2023-02-25</t>
  </si>
  <si>
    <t>TRX0157</t>
  </si>
  <si>
    <t>2024-07-28</t>
  </si>
  <si>
    <t>2023-02-19</t>
  </si>
  <si>
    <t>TRX0002</t>
  </si>
  <si>
    <t>2022-06-20</t>
  </si>
  <si>
    <t>TRX0217</t>
  </si>
  <si>
    <t>2024-07-30</t>
  </si>
  <si>
    <t>2023-03-14</t>
  </si>
  <si>
    <t>TRX0249</t>
  </si>
  <si>
    <t>2024-07-31</t>
  </si>
  <si>
    <t>2021-11-23</t>
  </si>
  <si>
    <t>TRX0065</t>
  </si>
  <si>
    <t>2024-08-05</t>
  </si>
  <si>
    <t>CUST016</t>
  </si>
  <si>
    <t>Elizabeth Hall</t>
  </si>
  <si>
    <t>2021-12-12</t>
  </si>
  <si>
    <t>TRX0176</t>
  </si>
  <si>
    <t>2024-08-06</t>
  </si>
  <si>
    <t>2022-04-16</t>
  </si>
  <si>
    <t>TRX0101</t>
  </si>
  <si>
    <t>2024-08-09</t>
  </si>
  <si>
    <t>TRX0205</t>
  </si>
  <si>
    <t>2024-08-11</t>
  </si>
  <si>
    <t>2023-02-08</t>
  </si>
  <si>
    <t>TRX0020</t>
  </si>
  <si>
    <t>2024-08-13</t>
  </si>
  <si>
    <t>2022-09-16</t>
  </si>
  <si>
    <t>TRX0075</t>
  </si>
  <si>
    <t>2022-08-09</t>
  </si>
  <si>
    <t>TRX0098</t>
  </si>
  <si>
    <t>2021-09-26</t>
  </si>
  <si>
    <t>TRX0247</t>
  </si>
  <si>
    <t>2021-09-19</t>
  </si>
  <si>
    <t>TRX0027</t>
  </si>
  <si>
    <t>2024-08-15</t>
  </si>
  <si>
    <t>2023-03-06</t>
  </si>
  <si>
    <t>TRX0140</t>
  </si>
  <si>
    <t>2024-08-18</t>
  </si>
  <si>
    <t>2023-02-15</t>
  </si>
  <si>
    <t>TRX0132</t>
  </si>
  <si>
    <t>2024-08-19</t>
  </si>
  <si>
    <t>2021-11-26</t>
  </si>
  <si>
    <t>TRX0031</t>
  </si>
  <si>
    <t>2022-01-13</t>
  </si>
  <si>
    <t>TRX0236</t>
  </si>
  <si>
    <t>2024-08-22</t>
  </si>
  <si>
    <t>2024-01-19</t>
  </si>
  <si>
    <t>TRX0001</t>
  </si>
  <si>
    <t>2024-08-24</t>
  </si>
  <si>
    <t>CUST039</t>
  </si>
  <si>
    <t>Lawrence Reed</t>
  </si>
  <si>
    <t>2022-08-06</t>
  </si>
  <si>
    <t>TRX0037</t>
  </si>
  <si>
    <t>2022-01-11</t>
  </si>
  <si>
    <t>TRX0058</t>
  </si>
  <si>
    <t>2024-08-28</t>
  </si>
  <si>
    <t>2021-10-28</t>
  </si>
  <si>
    <t>TRX0170</t>
  </si>
  <si>
    <t>CUST034</t>
  </si>
  <si>
    <t>Carol Evans</t>
  </si>
  <si>
    <t>2023-10-13</t>
  </si>
  <si>
    <t>TRX0248</t>
  </si>
  <si>
    <t>2024-08-30</t>
  </si>
  <si>
    <t>CUST032</t>
  </si>
  <si>
    <t>Sandra Phillips</t>
  </si>
  <si>
    <t>TRX0099</t>
  </si>
  <si>
    <t>2024-09-02</t>
  </si>
  <si>
    <t>2022-05-04</t>
  </si>
  <si>
    <t>TRX0074</t>
  </si>
  <si>
    <t>2024-02-10</t>
  </si>
  <si>
    <t>TRX0225</t>
  </si>
  <si>
    <t>2024-09-03</t>
  </si>
  <si>
    <t>2022-11-05</t>
  </si>
  <si>
    <t>TRX0100</t>
  </si>
  <si>
    <t>2024-09-06</t>
  </si>
  <si>
    <t>2022-06-05</t>
  </si>
  <si>
    <t>TRX0142</t>
  </si>
  <si>
    <t>2024-09-09</t>
  </si>
  <si>
    <t>2022-07-06</t>
  </si>
  <si>
    <t>TRX0112</t>
  </si>
  <si>
    <t>2021-11-30</t>
  </si>
  <si>
    <t>TRX0161</t>
  </si>
  <si>
    <t>2024-09-10</t>
  </si>
  <si>
    <t>2022-05-12</t>
  </si>
  <si>
    <t>TRX0108</t>
  </si>
  <si>
    <t>2024-09-12</t>
  </si>
  <si>
    <t>2021-10-25</t>
  </si>
  <si>
    <t>TRX0211</t>
  </si>
  <si>
    <t>2024-09-13</t>
  </si>
  <si>
    <t>2022-03-21</t>
  </si>
  <si>
    <t>TRX0005</t>
  </si>
  <si>
    <t>2024-09-15</t>
  </si>
  <si>
    <t>CUST042</t>
  </si>
  <si>
    <t>Ruth Brooks</t>
  </si>
  <si>
    <t>TRX0195</t>
  </si>
  <si>
    <t>2024-09-16</t>
  </si>
  <si>
    <t>TRX0054</t>
  </si>
  <si>
    <t>TRX0077</t>
  </si>
  <si>
    <t>2024-09-19</t>
  </si>
  <si>
    <t>2021-09-07</t>
  </si>
  <si>
    <t>TRX0111</t>
  </si>
  <si>
    <t>CUST011</t>
  </si>
  <si>
    <t>William White</t>
  </si>
  <si>
    <t>2021-10-13</t>
  </si>
  <si>
    <t>TRX0123</t>
  </si>
  <si>
    <t>2022-02-26</t>
  </si>
  <si>
    <t>TRX0177</t>
  </si>
  <si>
    <t>2024-09-24</t>
  </si>
  <si>
    <t>2023-08-19</t>
  </si>
  <si>
    <t>TRX0119</t>
  </si>
  <si>
    <t>2024-09-25</t>
  </si>
  <si>
    <t>2022-11-21</t>
  </si>
  <si>
    <t>TRX0181</t>
  </si>
  <si>
    <t>2024-09-28</t>
  </si>
  <si>
    <t>2022-01-08</t>
  </si>
  <si>
    <t>TRX0129</t>
  </si>
  <si>
    <t>2024-09-29</t>
  </si>
  <si>
    <t>CUST015</t>
  </si>
  <si>
    <t>Richard Lee</t>
  </si>
  <si>
    <t>2023-01-27</t>
  </si>
  <si>
    <t>TRX0174</t>
  </si>
  <si>
    <t>2024-10-01</t>
  </si>
  <si>
    <t>2021-09-21</t>
  </si>
  <si>
    <t>TRX0146</t>
  </si>
  <si>
    <t>2024-10-07</t>
  </si>
  <si>
    <t>TRX0203</t>
  </si>
  <si>
    <t>2023-05-30</t>
  </si>
  <si>
    <t>TRX0055</t>
  </si>
  <si>
    <t>2024-10-08</t>
  </si>
  <si>
    <t>2023-12-14</t>
  </si>
  <si>
    <t>TRX0218</t>
  </si>
  <si>
    <t>2023-01-14</t>
  </si>
  <si>
    <t>TRX0085</t>
  </si>
  <si>
    <t>2024-10-11</t>
  </si>
  <si>
    <t>2023-09-05</t>
  </si>
  <si>
    <t>TRX0158</t>
  </si>
  <si>
    <t>2024-10-14</t>
  </si>
  <si>
    <t>2023-10-16</t>
  </si>
  <si>
    <t>TRX0173</t>
  </si>
  <si>
    <t>2024-10-16</t>
  </si>
  <si>
    <t>2023-03-23</t>
  </si>
  <si>
    <t>TRX0034</t>
  </si>
  <si>
    <t>2024-04-03</t>
  </si>
  <si>
    <t>TRX0189</t>
  </si>
  <si>
    <t>2024-03-18</t>
  </si>
  <si>
    <t>TRX0190</t>
  </si>
  <si>
    <t>2024-10-18</t>
  </si>
  <si>
    <t>2022-12-21</t>
  </si>
  <si>
    <t>TRX0079</t>
  </si>
  <si>
    <t>2024-10-21</t>
  </si>
  <si>
    <t>2021-12-21</t>
  </si>
  <si>
    <t>TRX0095</t>
  </si>
  <si>
    <t>2024-10-23</t>
  </si>
  <si>
    <t>2021-10-04</t>
  </si>
  <si>
    <t>TRX0009</t>
  </si>
  <si>
    <t>2023-03-07</t>
  </si>
  <si>
    <t>TRX0167</t>
  </si>
  <si>
    <t>2024-10-24</t>
  </si>
  <si>
    <t>2022-03-15</t>
  </si>
  <si>
    <t>TRX0153</t>
  </si>
  <si>
    <t>2024-10-27</t>
  </si>
  <si>
    <t>2022-02-23</t>
  </si>
  <si>
    <t>TRX0057</t>
  </si>
  <si>
    <t>2024-11-01</t>
  </si>
  <si>
    <t>2022-11-16</t>
  </si>
  <si>
    <t>TRX0017</t>
  </si>
  <si>
    <t>2024-11-04</t>
  </si>
  <si>
    <t>2021-11-02</t>
  </si>
  <si>
    <t>TRX0060</t>
  </si>
  <si>
    <t>2024-11-07</t>
  </si>
  <si>
    <t>2021-08-12</t>
  </si>
  <si>
    <t>TRX0109</t>
  </si>
  <si>
    <t>2024-11-08</t>
  </si>
  <si>
    <t>2022-10-14</t>
  </si>
  <si>
    <t>TRX0090</t>
  </si>
  <si>
    <t>2024-11-09</t>
  </si>
  <si>
    <t>2022-09-24</t>
  </si>
  <si>
    <t>TRX0035</t>
  </si>
  <si>
    <t>2024-11-11</t>
  </si>
  <si>
    <t>2022-07-27</t>
  </si>
  <si>
    <t>TRX0172</t>
  </si>
  <si>
    <t>2022-05-13</t>
  </si>
  <si>
    <t>TRX0076</t>
  </si>
  <si>
    <t>2022-04-08</t>
  </si>
  <si>
    <t>TRX0210</t>
  </si>
  <si>
    <t>2024-11-12</t>
  </si>
  <si>
    <t>2022-12-06</t>
  </si>
  <si>
    <t>TRX0149</t>
  </si>
  <si>
    <t>2023-11-30</t>
  </si>
  <si>
    <t>TRX0073</t>
  </si>
  <si>
    <t>2024-11-17</t>
  </si>
  <si>
    <t>2022-11-04</t>
  </si>
  <si>
    <t>TRX0033</t>
  </si>
  <si>
    <t>2022-07-28</t>
  </si>
  <si>
    <t>TRX0160</t>
  </si>
  <si>
    <t>2024-11-21</t>
  </si>
  <si>
    <t>2021-08-19</t>
  </si>
  <si>
    <t>TRX0145</t>
  </si>
  <si>
    <t>2024-11-23</t>
  </si>
  <si>
    <t>2021-12-30</t>
  </si>
  <si>
    <t>TRX0148</t>
  </si>
  <si>
    <t>2022-01-22</t>
  </si>
  <si>
    <t>TRX0012</t>
  </si>
  <si>
    <t>2024-11-26</t>
  </si>
  <si>
    <t>CUST045</t>
  </si>
  <si>
    <t>Douglas Watson</t>
  </si>
  <si>
    <t>2022-11-08</t>
  </si>
  <si>
    <t>TRX0206</t>
  </si>
  <si>
    <t>2024-11-27</t>
  </si>
  <si>
    <t>2023-06-24</t>
  </si>
  <si>
    <t>TRX0045</t>
  </si>
  <si>
    <t>2024-12-01</t>
  </si>
  <si>
    <t>TRX0094</t>
  </si>
  <si>
    <t>2021-10-16</t>
  </si>
  <si>
    <t>TRX0133</t>
  </si>
  <si>
    <t>2021-10-06</t>
  </si>
  <si>
    <t>TRX0201</t>
  </si>
  <si>
    <t>2023-01-18</t>
  </si>
  <si>
    <t>TRX0137</t>
  </si>
  <si>
    <t>2024-12-03</t>
  </si>
  <si>
    <t>2023-06-21</t>
  </si>
  <si>
    <t>TRX0066</t>
  </si>
  <si>
    <t>2024-12-04</t>
  </si>
  <si>
    <t>2022-05-22</t>
  </si>
  <si>
    <t>TRX0180</t>
  </si>
  <si>
    <t>2024-12-09</t>
  </si>
  <si>
    <t>2021-07-19</t>
  </si>
  <si>
    <t>TRX0082</t>
  </si>
  <si>
    <t>CUST005</t>
  </si>
  <si>
    <t>James Johnson</t>
  </si>
  <si>
    <t>2023-05-06</t>
  </si>
  <si>
    <t>TRX0036</t>
  </si>
  <si>
    <t>2022-12-26</t>
  </si>
  <si>
    <t>TRX0198</t>
  </si>
  <si>
    <t>2024-12-10</t>
  </si>
  <si>
    <t>TRX0032</t>
  </si>
  <si>
    <t>2024-12-12</t>
  </si>
  <si>
    <t>2021-07-29</t>
  </si>
  <si>
    <t>TRX0081</t>
  </si>
  <si>
    <t>2024-12-15</t>
  </si>
  <si>
    <t>2023-10-01</t>
  </si>
  <si>
    <t>TRX0224</t>
  </si>
  <si>
    <t>2022-06-12</t>
  </si>
  <si>
    <t>TRX0028</t>
  </si>
  <si>
    <t>2024-12-18</t>
  </si>
  <si>
    <t>2023-09-22</t>
  </si>
  <si>
    <t>TRX0183</t>
  </si>
  <si>
    <t>2024-12-19</t>
  </si>
  <si>
    <t>2022-07-18</t>
  </si>
  <si>
    <t>TRX0163</t>
  </si>
  <si>
    <t>2022-03-05</t>
  </si>
  <si>
    <t>TRX0046</t>
  </si>
  <si>
    <t>2024-12-20</t>
  </si>
  <si>
    <t>2023-11-09</t>
  </si>
  <si>
    <t>TRX0164</t>
  </si>
  <si>
    <t>2024-12-22</t>
  </si>
  <si>
    <t>2023-12-20</t>
  </si>
  <si>
    <t>TRX0008</t>
  </si>
  <si>
    <t>2021-11-22</t>
  </si>
  <si>
    <t>TRX0171</t>
  </si>
  <si>
    <t>2024-12-23</t>
  </si>
  <si>
    <t>2022-06-09</t>
  </si>
  <si>
    <t>TRX0143</t>
  </si>
  <si>
    <t>2024-12-28</t>
  </si>
  <si>
    <t>2022-07-29</t>
  </si>
  <si>
    <t>TRX0165</t>
  </si>
  <si>
    <t>TRX0156</t>
  </si>
  <si>
    <t>2024-12-29</t>
  </si>
  <si>
    <t>2022-01-30</t>
  </si>
  <si>
    <t>TRX0147</t>
  </si>
  <si>
    <t>2024-02-25</t>
  </si>
  <si>
    <t>TRX0207</t>
  </si>
  <si>
    <t>2024-12-31</t>
  </si>
  <si>
    <t>2023-05-04</t>
  </si>
  <si>
    <t>TRX0056</t>
  </si>
  <si>
    <t>2025-01-03</t>
  </si>
  <si>
    <t>2022-01-03</t>
  </si>
  <si>
    <t>TRX0026</t>
  </si>
  <si>
    <t>2025-01-04</t>
  </si>
  <si>
    <t>CUST037</t>
  </si>
  <si>
    <t>Arthur Edwards</t>
  </si>
  <si>
    <t>2022-07-10</t>
  </si>
  <si>
    <t>TRX0237</t>
  </si>
  <si>
    <t>2025-01-06</t>
  </si>
  <si>
    <t>TRX0091</t>
  </si>
  <si>
    <t>2021-08-14</t>
  </si>
  <si>
    <t>TRX0125</t>
  </si>
  <si>
    <t>2025-01-09</t>
  </si>
  <si>
    <t>2023-06-28</t>
  </si>
  <si>
    <t>TRX0223</t>
  </si>
  <si>
    <t>2025-01-10</t>
  </si>
  <si>
    <t>2022-03-13</t>
  </si>
  <si>
    <t>TRX0243</t>
  </si>
  <si>
    <t>2024-02-08</t>
  </si>
  <si>
    <t>TRX0084</t>
  </si>
  <si>
    <t>2025-01-11</t>
  </si>
  <si>
    <t>2021-12-06</t>
  </si>
  <si>
    <t>TRX0238</t>
  </si>
  <si>
    <t>2022-02-10</t>
  </si>
  <si>
    <t>TRX0102</t>
  </si>
  <si>
    <t>2025-01-13</t>
  </si>
  <si>
    <t>2024-01-31</t>
  </si>
  <si>
    <t>TRX0022</t>
  </si>
  <si>
    <t>2021-08-28</t>
  </si>
  <si>
    <t>TRX0087</t>
  </si>
  <si>
    <t>2025-01-14</t>
  </si>
  <si>
    <t>TRX0107</t>
  </si>
  <si>
    <t>2022-12-18</t>
  </si>
  <si>
    <t>TRX0051</t>
  </si>
  <si>
    <t>2023-10-05</t>
  </si>
  <si>
    <t>TRX0106</t>
  </si>
  <si>
    <t>2025-01-16</t>
  </si>
  <si>
    <t>2021-12-14</t>
  </si>
  <si>
    <t>TRX0059</t>
  </si>
  <si>
    <t>2021-08-23</t>
  </si>
  <si>
    <t>TRX0072</t>
  </si>
  <si>
    <t>2021-07-18</t>
  </si>
  <si>
    <t>TRX0110</t>
  </si>
  <si>
    <t>2025-01-19</t>
  </si>
  <si>
    <t>2022-03-22</t>
  </si>
  <si>
    <t>TRX0126</t>
  </si>
  <si>
    <t>2025-01-25</t>
  </si>
  <si>
    <t>TRX0159</t>
  </si>
  <si>
    <t>2025-01-26</t>
  </si>
  <si>
    <t>2023-10-18</t>
  </si>
  <si>
    <t>TRX0030</t>
  </si>
  <si>
    <t>2025-01-29</t>
  </si>
  <si>
    <t>2022-06-22</t>
  </si>
  <si>
    <t>TRX0178</t>
  </si>
  <si>
    <t>2023-01-26</t>
  </si>
  <si>
    <t>TRX0188</t>
  </si>
  <si>
    <t>2022-04-30</t>
  </si>
  <si>
    <t>TRX0010</t>
  </si>
  <si>
    <t>2025-01-31</t>
  </si>
  <si>
    <t>2022-05-11</t>
  </si>
  <si>
    <t>TRX0069</t>
  </si>
  <si>
    <t>2022-08-04</t>
  </si>
  <si>
    <t>TRX0166</t>
  </si>
  <si>
    <t>2024-01-16</t>
  </si>
  <si>
    <t>TRX0219</t>
  </si>
  <si>
    <t>2025-02-04</t>
  </si>
  <si>
    <t>2023-04-29</t>
  </si>
  <si>
    <t>TRX0024</t>
  </si>
  <si>
    <t>2025-02-07</t>
  </si>
  <si>
    <t>TRX0105</t>
  </si>
  <si>
    <t>2023-02-02</t>
  </si>
  <si>
    <t>TRX0011</t>
  </si>
  <si>
    <t>2025-02-08</t>
  </si>
  <si>
    <t>2023-09-08</t>
  </si>
  <si>
    <t>TRX0187</t>
  </si>
  <si>
    <t>2025-02-13</t>
  </si>
  <si>
    <t>TRX0089</t>
  </si>
  <si>
    <t>2025-02-16</t>
  </si>
  <si>
    <t>2022-06-23</t>
  </si>
  <si>
    <t>TRX0196</t>
  </si>
  <si>
    <t>2023-11-27</t>
  </si>
  <si>
    <t>TRX0118</t>
  </si>
  <si>
    <t>2025-02-17</t>
  </si>
  <si>
    <t>2022-06-16</t>
  </si>
  <si>
    <t>TRX0179</t>
  </si>
  <si>
    <t>2025-02-19</t>
  </si>
  <si>
    <t>TRX0168</t>
  </si>
  <si>
    <t>TRX0214</t>
  </si>
  <si>
    <t>2025-02-20</t>
  </si>
  <si>
    <t>2022-02-21</t>
  </si>
  <si>
    <t>TRX0221</t>
  </si>
  <si>
    <t>TRX0083</t>
  </si>
  <si>
    <t>2025-02-22</t>
  </si>
  <si>
    <t>2023-08-04</t>
  </si>
  <si>
    <t>TRX0151</t>
  </si>
  <si>
    <t>2023-01-08</t>
  </si>
  <si>
    <t>TRX0047</t>
  </si>
  <si>
    <t>2025-02-23</t>
  </si>
  <si>
    <t>TRX0200</t>
  </si>
  <si>
    <t>TRX0062</t>
  </si>
  <si>
    <t>2023-08-02</t>
  </si>
  <si>
    <t>TRX0182</t>
  </si>
  <si>
    <t>2025-02-24</t>
  </si>
  <si>
    <t>2022-01-12</t>
  </si>
  <si>
    <t>TRX0229</t>
  </si>
  <si>
    <t>2025-02-27</t>
  </si>
  <si>
    <t>2023-05-24</t>
  </si>
  <si>
    <t>TRX0048</t>
  </si>
  <si>
    <t>2022-01-15</t>
  </si>
  <si>
    <t>TRX0227</t>
  </si>
  <si>
    <t>2025-03-02</t>
  </si>
  <si>
    <t>TRX0226</t>
  </si>
  <si>
    <t>2025-03-04</t>
  </si>
  <si>
    <t>TRX0053</t>
  </si>
  <si>
    <t>2025-03-05</t>
  </si>
  <si>
    <t>2023-12-31</t>
  </si>
  <si>
    <t>TRX0233</t>
  </si>
  <si>
    <t>2025-03-07</t>
  </si>
  <si>
    <t>TRX0175</t>
  </si>
  <si>
    <t>2021-12-10</t>
  </si>
  <si>
    <t>TRX0186</t>
  </si>
  <si>
    <t>2025-03-08</t>
  </si>
  <si>
    <t>2022-03-12</t>
  </si>
  <si>
    <t>TRX0016</t>
  </si>
  <si>
    <t>TRX0199</t>
  </si>
  <si>
    <t>2023-12-03</t>
  </si>
  <si>
    <t>TRX0038</t>
  </si>
  <si>
    <t>2025-03-10</t>
  </si>
  <si>
    <t>2023-07-10</t>
  </si>
  <si>
    <t>TRX0014</t>
  </si>
  <si>
    <t>2025-03-18</t>
  </si>
  <si>
    <t>2023-09-24</t>
  </si>
  <si>
    <t>TRX0003</t>
  </si>
  <si>
    <t>2025-03-21</t>
  </si>
  <si>
    <t>2023-11-03</t>
  </si>
  <si>
    <t>TRX0124</t>
  </si>
  <si>
    <t>2022-11-11</t>
  </si>
  <si>
    <t>TRX0013</t>
  </si>
  <si>
    <t>2023-02-18</t>
  </si>
  <si>
    <t>TRX0019</t>
  </si>
  <si>
    <t>2025-03-23</t>
  </si>
  <si>
    <t>2023-11-04</t>
  </si>
  <si>
    <t>TRX0050</t>
  </si>
  <si>
    <t>2025-03-24</t>
  </si>
  <si>
    <t>CUST001</t>
  </si>
  <si>
    <t>John Smith</t>
  </si>
  <si>
    <t>TRX0152</t>
  </si>
  <si>
    <t>2025-03-27</t>
  </si>
  <si>
    <t>2023-12-28</t>
  </si>
  <si>
    <t>TRX0213</t>
  </si>
  <si>
    <t>2025-03-29</t>
  </si>
  <si>
    <t>2022-05-23</t>
  </si>
  <si>
    <t>TRX0197</t>
  </si>
  <si>
    <t>2025-03-30</t>
  </si>
  <si>
    <t>2023-09-02</t>
  </si>
  <si>
    <t>TRX0250</t>
  </si>
  <si>
    <t>TRX0068</t>
  </si>
  <si>
    <t>2025-04-01</t>
  </si>
  <si>
    <t>TRX0144</t>
  </si>
  <si>
    <t>2025-04-02</t>
  </si>
  <si>
    <t>TRX0039</t>
  </si>
  <si>
    <t>2025-04-08</t>
  </si>
  <si>
    <t>2021-11-11</t>
  </si>
  <si>
    <t>TRX0116</t>
  </si>
  <si>
    <t>2025-04-09</t>
  </si>
  <si>
    <t>2024-02-24</t>
  </si>
  <si>
    <t>TRX0120</t>
  </si>
  <si>
    <t>2025-04-11</t>
  </si>
  <si>
    <t>TRX0103</t>
  </si>
  <si>
    <t>2023-06-11</t>
  </si>
  <si>
    <t>TRX0064</t>
  </si>
  <si>
    <t>2022-11-13</t>
  </si>
  <si>
    <t>📅  DATE &amp; TIME ANALYSIS</t>
  </si>
  <si>
    <t>Metric</t>
  </si>
  <si>
    <t>Value</t>
  </si>
  <si>
    <t>TODAY()</t>
  </si>
  <si>
    <t>NOW()</t>
  </si>
  <si>
    <t>Report Generated On</t>
  </si>
  <si>
    <t>Data Start Date</t>
  </si>
  <si>
    <t>Data End Date</t>
  </si>
  <si>
    <t>Days Spanned (DATEDIF)</t>
  </si>
  <si>
    <t>End of Data Month (EOMONTH)</t>
  </si>
  <si>
    <t>Months Covered (DATEDIF)</t>
  </si>
  <si>
    <t>📊  KEY PERFORMANCE INDICATORS</t>
  </si>
  <si>
    <t>KPI</t>
  </si>
  <si>
    <t>Total Revenue</t>
  </si>
  <si>
    <t>Total Transactions</t>
  </si>
  <si>
    <t>Average Order Value</t>
  </si>
  <si>
    <t>Total Units Sold</t>
  </si>
  <si>
    <t>Unique Customers</t>
  </si>
  <si>
    <t>Unique Products</t>
  </si>
  <si>
    <t>Max Single Order</t>
  </si>
  <si>
    <t>Min Single Order</t>
  </si>
  <si>
    <t>🏷️  REVENUE BY CATEGORY</t>
  </si>
  <si>
    <t>Revenue</t>
  </si>
  <si>
    <t>Transactions</t>
  </si>
  <si>
    <t>Units Sold</t>
  </si>
  <si>
    <t>Avg Order</t>
  </si>
  <si>
    <t>% of Revenue</t>
  </si>
  <si>
    <t>🌍  REVENUE BY REGION</t>
  </si>
  <si>
    <t>👥  CUSTOMER SEGMENT ANALYSIS</t>
  </si>
  <si>
    <t>Segment</t>
  </si>
  <si>
    <t>% Revenue</t>
  </si>
  <si>
    <t>Rank</t>
  </si>
  <si>
    <t>🏆  TOP 10 HIGH-VALUE CUSTOMERS (GroupBy Concept)</t>
  </si>
  <si>
    <t>Customer Name</t>
  </si>
  <si>
    <t>Customer ID</t>
  </si>
  <si>
    <t>🛒  PRODUCT FREQUENCY ANALYSIS</t>
  </si>
  <si>
    <t>Product</t>
  </si>
  <si>
    <t>Avg Unit Price</t>
  </si>
  <si>
    <t>💳  PAYMENT METHOD ANALYSIS</t>
  </si>
  <si>
    <t>Payment Method</t>
  </si>
  <si>
    <t>% Transactions</t>
  </si>
  <si>
    <t>🔍  FILTER FUNCTION DEMO – Premium Electronics</t>
  </si>
  <si>
    <t>Customer</t>
  </si>
  <si>
    <t>Qty</t>
  </si>
  <si>
    <t>Unit Price</t>
  </si>
  <si>
    <t>Total</t>
  </si>
  <si>
    <t>[See Dashboard tab for full FILTER results via Pivot]</t>
  </si>
  <si>
    <t>🔤  ABBREVIATIONS &amp; TEXT FUNCTIONS</t>
  </si>
  <si>
    <t>Original</t>
  </si>
  <si>
    <t>UPPER</t>
  </si>
  <si>
    <t>LOWER</t>
  </si>
  <si>
    <t>LEFT(3)</t>
  </si>
  <si>
    <t>Initials</t>
  </si>
  <si>
    <t>Abbrev (MID)</t>
  </si>
  <si>
    <t>🔗  COMPARE LISTS – Premium vs Basic Customers</t>
  </si>
  <si>
    <t>Premium Customers</t>
  </si>
  <si>
    <t>ID</t>
  </si>
  <si>
    <t>Basic Customers</t>
  </si>
  <si>
    <t>Match Found?</t>
  </si>
  <si>
    <t>📐  WHAT-IF ANALYSIS – Scenario Manager</t>
  </si>
  <si>
    <t>Scenario</t>
  </si>
  <si>
    <t>Price Multiplier</t>
  </si>
  <si>
    <t>Qty Multiplier</t>
  </si>
  <si>
    <t>Projected Revenue</t>
  </si>
  <si>
    <t>Change vs Base</t>
  </si>
  <si>
    <t>% Change</t>
  </si>
  <si>
    <t>Base</t>
  </si>
  <si>
    <t>Optimistic</t>
  </si>
  <si>
    <t>Moderate</t>
  </si>
  <si>
    <t>Pessimistic</t>
  </si>
  <si>
    <t>Price-Only</t>
  </si>
  <si>
    <t>Volume-Only</t>
  </si>
  <si>
    <t>🎯  GOAL SEEK HELPER</t>
  </si>
  <si>
    <t>Target Revenue Goal ($)</t>
  </si>
  <si>
    <t>Current Revenue</t>
  </si>
  <si>
    <t>Gap to Target</t>
  </si>
  <si>
    <t>Required Price Increase %</t>
  </si>
  <si>
    <t>💡 Use Excel's Data &gt; What-If Analysis &gt; Goal Seek to find the exact Price multiplier to hit the target</t>
  </si>
  <si>
    <t>📈  LINEAR REGRESSION – Monthly Revenue Trend</t>
  </si>
  <si>
    <t>Month #</t>
  </si>
  <si>
    <t>Month</t>
  </si>
  <si>
    <t>Trend (FORECAST)</t>
  </si>
  <si>
    <t>SLOPE</t>
  </si>
  <si>
    <t>INTERCEPT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</si>
  <si>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</si>
  <si>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</si>
  <si>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</si>
  <si>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</si>
  <si>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</si>
  <si>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</si>
  <si>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</si>
  <si>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</si>
  <si>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</si>
  <si>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</si>
  <si>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</si>
  <si>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</si>
  <si>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</si>
  <si>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📊  CUSTOMER TRANSACTION VISUALIZATIONS &amp; CHARTS</t>
  </si>
  <si>
    <t>Trend</t>
  </si>
  <si>
    <t>🏪  CUSTOMER TRANSACTIONS ANALYTICS DASHBOARD</t>
  </si>
  <si>
    <t>💰 TOTAL REVENUE</t>
  </si>
  <si>
    <t>📦 TRANSACTIONS</t>
  </si>
  <si>
    <t>👤 CUSTOMERS</t>
  </si>
  <si>
    <t>🛍️ AVG ORDER</t>
  </si>
  <si>
    <t>📊 UNITS SOLD</t>
  </si>
  <si>
    <t>🏆 TOP PRODUCT</t>
  </si>
  <si>
    <t>🌍 TOP REGION</t>
  </si>
  <si>
    <t>💳 TOP PAYMENT</t>
  </si>
  <si>
    <t>📋 CATEGORY PERFORMANCE</t>
  </si>
  <si>
    <t>🌍 REGIONAL PERFORMANCE</t>
  </si>
  <si>
    <t>👥 SEGMENT PERFORMANCE</t>
  </si>
  <si>
    <t>Txns</t>
  </si>
  <si>
    <t>Units</t>
  </si>
  <si>
    <t>% Share</t>
  </si>
  <si>
    <t>% Rev</t>
  </si>
  <si>
    <t>🏆 TOP 5 CUSTOMERS</t>
  </si>
  <si>
    <t>💳 PAYMENT METHODS</t>
  </si>
  <si>
    <t>📅 MONTHLY REVENUE</t>
  </si>
  <si>
    <t>Status</t>
  </si>
  <si>
    <t>Payment</t>
  </si>
  <si>
    <t>Avg</t>
  </si>
  <si>
    <t>YoY Chg</t>
  </si>
  <si>
    <t>⭐ High Value</t>
  </si>
  <si>
    <t>—</t>
  </si>
  <si>
    <t>📊</t>
  </si>
  <si>
    <t>📋  BUSINESS INSIGHTS REPORT – CUSTOMER TRANSACTION ANALYSIS 2024-2025</t>
  </si>
  <si>
    <t>📌  EXECUTIVE SUMMARY</t>
  </si>
  <si>
    <t>This report analyzes 250 customer transactions from April 2024 to April 2025, covering 50+ unique customers across 5 regions.</t>
  </si>
  <si>
    <t>Total Revenue tracked: =CONCATENATE("$",TEXT(SUM('Raw Data'!N2:N10000),"#,##0.00"))</t>
  </si>
  <si>
    <t>The dataset covers 3 product categories (Electronics, Furniture, Appliances) with 10 distinct products.</t>
  </si>
  <si>
    <t>Insights are derived using Excel's SUMIF, COUNTIF, AVERAGEIF, FILTER concepts, DATEDIF, and statistical functions.</t>
  </si>
  <si>
    <t>🔍  KEY FINDINGS</t>
  </si>
  <si>
    <t>✅ 1. Electronics Dominance</t>
  </si>
  <si>
    <t xml:space="preserve">   → Electronics is the highest revenue-generating category, driven by Laptops and Smartphones — the two most expensive products.</t>
  </si>
  <si>
    <t>✅ 2. Premium Customers Drive Revenue</t>
  </si>
  <si>
    <t xml:space="preserve">   → Premium customer segment contributes the highest revenue despite having fewer transactions than Standard, indicating higher average order values.</t>
  </si>
  <si>
    <t>✅ 3. Regional Concentration</t>
  </si>
  <si>
    <t xml:space="preserve">   → North and West regions show the highest transaction volumes. Targeted marketing in South and Central could unlock growth.</t>
  </si>
  <si>
    <t>✅ 4. Laptop is the Top Earner</t>
  </si>
  <si>
    <t xml:space="preserve">   → Laptops (P001 @ $899.99) are the single highest-revenue product due to high unit price × frequency.</t>
  </si>
  <si>
    <t>✅ 5. Blender is Most Frequently Purchased</t>
  </si>
  <si>
    <t xml:space="preserve">   → Blender (P005) appears most often in transactions, making it the volume leader, though low-ticket.</t>
  </si>
  <si>
    <t>✅ 6. Credit Card Preference</t>
  </si>
  <si>
    <t xml:space="preserve">   → Credit Card is the most preferred payment method, followed closely by Cash — suggesting both digital and traditional payment acceptance is important.</t>
  </si>
  <si>
    <t>✅ 7. Repeat Customer Behavior</t>
  </si>
  <si>
    <t xml:space="preserve">   → Customers like Mark Carter, Patricia Moore, and Karen Hill appear in multiple transactions, indicating strong retention and loyalty.</t>
  </si>
  <si>
    <t>✅ 8. Seasonal Revenue Pattern</t>
  </si>
  <si>
    <t xml:space="preserve">   → Revenue shows variability across months — higher during mid-year (Jun-Aug) and year-end (Nov-Dec), consistent with seasonal shopping patterns.</t>
  </si>
  <si>
    <t>✅ 9. Linear Regression Trend</t>
  </si>
  <si>
    <t xml:space="preserve">   → The SLOPE of monthly revenue indicates an upward trend, suggesting business growth. Use the Regression sheet to project next-period revenue.</t>
  </si>
  <si>
    <t>✅ 10. WHAT-IF Scenario</t>
  </si>
  <si>
    <t xml:space="preserve">   → Optimistic scenario (10% price increase + 15% volume growth) could increase revenue significantly — see Analysis sheet for details.</t>
  </si>
  <si>
    <t>📊  STORYTELLING NARRATIVE</t>
  </si>
  <si>
    <t>📌 The business demonstrated strong transaction activity across all five regions over the analyzed period.</t>
  </si>
  <si>
    <t>📌 Electronics emerged as the clear category leader, with the Laptop being the star performer in terms of revenue contribution.</t>
  </si>
  <si>
    <t>📌 Premium customers, though fewer in number, punch well above their weight in revenue — a classic Pareto 80/20 pattern.</t>
  </si>
  <si>
    <t>📌 The North region leads in both transactions and units sold, making it the most active market.</t>
  </si>
  <si>
    <t>📌 Payment preferences reveal a balanced mix, with Credit Card slightly ahead — suggesting trust in the brand's payment infrastructure.</t>
  </si>
  <si>
    <t>📌 Blenders represent quick wins in Appliances: high frequency, easy upsell opportunities.</t>
  </si>
  <si>
    <t>📌 The upward revenue slope identified in regression analysis points to organic growth, but the business should monitor the gap between scenarios.</t>
  </si>
  <si>
    <t>📌 Recommendation: Focus loyalty programs on Premium customers, expand Electronics catalog, and run targeted campaigns in South &amp; Central regions.</t>
  </si>
  <si>
    <t>🎯  RECOMMENDATIONS</t>
  </si>
  <si>
    <t>1. Launch a VIP loyalty program for Premium segment customers to increase retention and basket size.</t>
  </si>
  <si>
    <t>2. Expand Electronics inventory — Laptops and Smartphones are the highest revenue drivers.</t>
  </si>
  <si>
    <t>3. Cross-sell Blenders and Coffee Makers to existing Furniture/Electronics buyers.</t>
  </si>
  <si>
    <t>4. Invest in South and Central regions with localized promotions to balance regional revenue distribution.</t>
  </si>
  <si>
    <t>5. Offer Credit Card EMI options to increase average order value, especially for high-ticket items.</t>
  </si>
  <si>
    <t>6. Use Goal Seek (Data &gt; What-If) monthly to align pricing strategy with revenue targets.</t>
  </si>
  <si>
    <t>7. Monitor monthly revenue trend and flag any deviation from the regression forecast as an early warning signal.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</si>
</sst>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\$#,##0.00"/>
    <numFmt numFmtId="165" formatCode="dd\-mmm\-yyyy"/>
    <numFmt numFmtId="166" formatCode="dd\-mmm\-yyyy\ hh:mm:ss"/>
    <numFmt numFmtId="167" formatCode="0.0%"/>
    <numFmt numFmtId="168" formatCode="\$#,##0"/>
  </numFmts>
  <fonts count="22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i/>
      <sz val="9"/>
      <color rgb="FF2E75B6"/>
      <name val="Arial"/>
      <charset val="1"/>
    </font>
    <font>
      <i/>
      <sz val="9"/>
      <color rgb="FFED7D31"/>
      <name val="Arial"/>
      <charset val="1"/>
    </font>
    <font>
      <b/>
      <sz val="14"/>
      <color rgb="FFFFFFFF"/>
      <name val="Arial"/>
      <charset val="1"/>
    </font>
    <font>
      <b/>
      <sz val="11"/>
      <color rgb="FF000000"/>
      <name val="Arial"/>
      <charset val="1"/>
    </font>
    <font>
      <b/>
      <sz val="16"/>
      <color rgb="FFFFD966"/>
      <name val="Arial"/>
      <charset val="1"/>
    </font>
    <font>
      <b/>
      <sz val="20"/>
      <color rgb="FF1F3864"/>
      <name val="Arial"/>
      <charset val="1"/>
    </font>
    <font>
      <b/>
      <sz val="20"/>
      <color rgb="FFED7D31"/>
      <name val="Arial"/>
      <charset val="1"/>
    </font>
    <font>
      <b/>
      <sz val="20"/>
      <color rgb="FF70AD47"/>
      <name val="Arial"/>
      <charset val="1"/>
    </font>
    <font>
      <b/>
      <sz val="20"/>
      <color rgb="FF9E480E"/>
      <name val="Arial"/>
      <charset val="1"/>
    </font>
    <font>
      <b/>
      <sz val="18"/>
      <color rgb="FF2E75B6"/>
      <name val="Arial"/>
      <charset val="1"/>
    </font>
    <font>
      <b/>
      <sz val="18"/>
      <color rgb="FF7030A0"/>
      <name val="Arial"/>
      <charset val="1"/>
    </font>
    <font>
      <b/>
      <sz val="18"/>
      <color rgb="FF00B0F0"/>
      <name val="Arial"/>
      <charset val="1"/>
    </font>
    <font>
      <b/>
      <sz val="18"/>
      <color rgb="FFFF0000"/>
      <name val="Arial"/>
      <charset val="1"/>
    </font>
    <font>
      <b/>
      <sz val="9"/>
      <color rgb="FFFFFFFF"/>
      <name val="Arial"/>
      <charset val="1"/>
    </font>
    <font>
      <b/>
      <sz val="22"/>
      <color rgb="FFFFFFFF"/>
      <name val="Arial"/>
      <family val="2"/>
    </font>
    <font>
      <i/>
      <sz val="9"/>
      <color rgb="FF2E75B6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0F4FA"/>
      </patternFill>
    </fill>
    <fill>
      <patternFill patternType="solid">
        <fgColor rgb="FF2E75B6"/>
        <bgColor rgb="FF4A7EBB"/>
      </patternFill>
    </fill>
    <fill>
      <patternFill patternType="solid">
        <fgColor rgb="FFFFFFFF"/>
        <bgColor rgb="FFF9F9F9"/>
      </patternFill>
    </fill>
    <fill>
      <patternFill patternType="solid">
        <fgColor rgb="FFBDD7EE"/>
        <bgColor rgb="FFD9D9D9"/>
      </patternFill>
    </fill>
    <fill>
      <patternFill patternType="solid">
        <fgColor rgb="FFF0F4FA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9BBB59"/>
      </patternFill>
    </fill>
    <fill>
      <patternFill patternType="solid">
        <fgColor rgb="FF9E480E"/>
        <bgColor rgb="FFC0504D"/>
      </patternFill>
    </fill>
    <fill>
      <patternFill patternType="solid">
        <fgColor rgb="FFFCE4D6"/>
        <bgColor rgb="FFFFE7E7"/>
      </patternFill>
    </fill>
    <fill>
      <patternFill patternType="solid">
        <fgColor rgb="FFE2EFDA"/>
        <bgColor rgb="FFDEEAF1"/>
      </patternFill>
    </fill>
    <fill>
      <patternFill patternType="solid">
        <fgColor rgb="FF7030A0"/>
        <bgColor rgb="FF333399"/>
      </patternFill>
    </fill>
    <fill>
      <patternFill patternType="solid">
        <fgColor rgb="FF00B0F0"/>
        <bgColor rgb="FF33CCCC"/>
      </patternFill>
    </fill>
    <fill>
      <patternFill patternType="solid">
        <fgColor rgb="FFFF0000"/>
        <bgColor rgb="FFC00000"/>
      </patternFill>
    </fill>
    <fill>
      <patternFill patternType="solid">
        <fgColor rgb="FFDEEAF1"/>
        <bgColor rgb="FFDEEBF7"/>
      </patternFill>
    </fill>
    <fill>
      <patternFill patternType="solid">
        <fgColor rgb="FFEAE3F5"/>
        <bgColor rgb="FFDEEAF1"/>
      </patternFill>
    </fill>
    <fill>
      <patternFill patternType="solid">
        <fgColor rgb="FFDEEBF7"/>
        <bgColor rgb="FFDEEAF1"/>
      </patternFill>
    </fill>
    <fill>
      <patternFill patternType="solid">
        <fgColor rgb="FFFFE7E7"/>
        <bgColor rgb="FFFCE4D6"/>
      </patternFill>
    </fill>
    <fill>
      <patternFill patternType="solid">
        <fgColor theme="0" tint="-4.9989318521683403E-2"/>
        <bgColor rgb="FFF9F9F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/>
    <xf numFmtId="0" fontId="5" fillId="5" borderId="1" xfId="0" applyFon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 wrapText="1"/>
    </xf>
    <xf numFmtId="167" fontId="0" fillId="5" borderId="1" xfId="0" applyNumberForma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167" fontId="0" fillId="3" borderId="1" xfId="0" applyNumberForma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67" fontId="0" fillId="0" borderId="0" xfId="0" applyNumberFormat="1" applyAlignment="1"/>
    <xf numFmtId="164" fontId="0" fillId="0" borderId="0" xfId="0" applyNumberFormat="1" applyAlignment="1"/>
    <xf numFmtId="0" fontId="5" fillId="0" borderId="1" xfId="0" applyFont="1" applyBorder="1" applyAlignment="1"/>
    <xf numFmtId="0" fontId="0" fillId="0" borderId="1" xfId="0" applyBorder="1" applyAlignment="1"/>
    <xf numFmtId="0" fontId="0" fillId="3" borderId="1" xfId="0" applyFill="1" applyBorder="1" applyAlignment="1"/>
    <xf numFmtId="0" fontId="9" fillId="6" borderId="0" xfId="0" applyFont="1" applyFill="1" applyAlignment="1"/>
    <xf numFmtId="0" fontId="0" fillId="7" borderId="0" xfId="0" applyFill="1" applyAlignment="1"/>
    <xf numFmtId="0" fontId="19" fillId="2" borderId="0" xfId="0" applyFont="1" applyFill="1" applyAlignment="1">
      <alignment horizontal="center" vertical="center" wrapText="1"/>
    </xf>
    <xf numFmtId="168" fontId="0" fillId="5" borderId="1" xfId="0" applyNumberFormat="1" applyFill="1" applyBorder="1" applyAlignment="1">
      <alignment horizontal="center" vertical="center" wrapText="1"/>
    </xf>
    <xf numFmtId="168" fontId="0" fillId="3" borderId="1" xfId="0" applyNumberFormat="1" applyFill="1" applyBorder="1" applyAlignment="1">
      <alignment horizontal="center" vertical="center" wrapText="1"/>
    </xf>
    <xf numFmtId="0" fontId="5" fillId="20" borderId="0" xfId="0" applyFont="1" applyFill="1" applyBorder="1" applyAlignment="1">
      <alignment horizontal="center" vertical="center" wrapText="1"/>
    </xf>
    <xf numFmtId="168" fontId="0" fillId="20" borderId="0" xfId="0" applyNumberFormat="1" applyFill="1" applyBorder="1" applyAlignment="1">
      <alignment horizontal="center" vertical="center" wrapText="1"/>
    </xf>
    <xf numFmtId="3" fontId="0" fillId="20" borderId="0" xfId="0" applyNumberFormat="1" applyFill="1" applyBorder="1" applyAlignment="1">
      <alignment horizontal="center" vertical="center" wrapText="1"/>
    </xf>
    <xf numFmtId="167" fontId="0" fillId="20" borderId="0" xfId="0" applyNumberForma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/>
    <xf numFmtId="165" fontId="2" fillId="5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/>
    <xf numFmtId="166" fontId="2" fillId="3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1" fillId="0" borderId="0" xfId="0" applyFont="1" applyBorder="1" applyAlignment="1"/>
    <xf numFmtId="0" fontId="6" fillId="0" borderId="0" xfId="0" applyFont="1" applyBorder="1" applyAlignment="1"/>
    <xf numFmtId="0" fontId="7" fillId="0" borderId="1" xfId="0" applyFont="1" applyBorder="1" applyAlignment="1"/>
    <xf numFmtId="164" fontId="0" fillId="0" borderId="1" xfId="0" applyNumberFormat="1" applyBorder="1" applyAlignment="1"/>
    <xf numFmtId="164" fontId="0" fillId="3" borderId="1" xfId="0" applyNumberFormat="1" applyFill="1" applyBorder="1" applyAlignment="1"/>
    <xf numFmtId="167" fontId="0" fillId="3" borderId="1" xfId="0" applyNumberFormat="1" applyFill="1" applyBorder="1" applyAlignment="1"/>
    <xf numFmtId="0" fontId="20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4" fillId="10" borderId="0" xfId="0" applyFont="1" applyFill="1" applyBorder="1" applyAlignment="1">
      <alignment horizontal="center" vertical="center" wrapText="1"/>
    </xf>
    <xf numFmtId="168" fontId="11" fillId="6" borderId="0" xfId="0" applyNumberFormat="1" applyFont="1" applyFill="1" applyBorder="1" applyAlignment="1">
      <alignment horizontal="center" vertical="center" wrapText="1"/>
    </xf>
    <xf numFmtId="3" fontId="12" fillId="11" borderId="0" xfId="0" applyNumberFormat="1" applyFont="1" applyFill="1" applyBorder="1" applyAlignment="1">
      <alignment horizontal="center" vertical="center" wrapText="1"/>
    </xf>
    <xf numFmtId="3" fontId="13" fillId="12" borderId="0" xfId="0" applyNumberFormat="1" applyFont="1" applyFill="1" applyBorder="1" applyAlignment="1">
      <alignment horizontal="center" vertical="center" wrapText="1"/>
    </xf>
    <xf numFmtId="168" fontId="14" fillId="11" borderId="0" xfId="0" applyNumberFormat="1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13" borderId="0" xfId="0" applyFont="1" applyFill="1" applyBorder="1" applyAlignment="1">
      <alignment horizontal="center" vertical="center" wrapText="1"/>
    </xf>
    <xf numFmtId="0" fontId="4" fillId="14" borderId="0" xfId="0" applyFont="1" applyFill="1" applyBorder="1" applyAlignment="1">
      <alignment horizontal="center" vertical="center" wrapText="1"/>
    </xf>
    <xf numFmtId="0" fontId="4" fillId="15" borderId="0" xfId="0" applyFont="1" applyFill="1" applyBorder="1" applyAlignment="1">
      <alignment horizontal="center" vertical="center" wrapText="1"/>
    </xf>
    <xf numFmtId="0" fontId="1" fillId="8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3" fontId="15" fillId="16" borderId="0" xfId="0" applyNumberFormat="1" applyFont="1" applyFill="1" applyBorder="1" applyAlignment="1">
      <alignment horizontal="center" vertical="center" wrapText="1"/>
    </xf>
    <xf numFmtId="0" fontId="16" fillId="17" borderId="0" xfId="0" applyFont="1" applyFill="1" applyBorder="1" applyAlignment="1">
      <alignment horizontal="center" vertical="center" wrapText="1"/>
    </xf>
    <xf numFmtId="0" fontId="17" fillId="18" borderId="0" xfId="0" applyFont="1" applyFill="1" applyBorder="1" applyAlignment="1">
      <alignment horizontal="center" vertical="center" wrapText="1"/>
    </xf>
    <xf numFmtId="0" fontId="18" fillId="19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8" borderId="0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left" vertical="center" wrapText="1"/>
    </xf>
    <xf numFmtId="0" fontId="8" fillId="9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color rgb="FFC00000"/>
      </font>
      <fill>
        <patternFill>
          <bgColor rgb="FFFFE7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9F9F9"/>
      <rgbColor rgb="FFDEEBF7"/>
      <rgbColor rgb="FF660066"/>
      <rgbColor rgb="FFFF8080"/>
      <rgbColor rgb="FF0066CC"/>
      <rgbColor rgb="FFBDD7EE"/>
      <rgbColor rgb="FF000080"/>
      <rgbColor rgb="FFFF00FF"/>
      <rgbColor rgb="FFF0F4FA"/>
      <rgbColor rgb="FF00FFFF"/>
      <rgbColor rgb="FF800080"/>
      <rgbColor rgb="FF800000"/>
      <rgbColor rgb="FF008080"/>
      <rgbColor rgb="FF0000FF"/>
      <rgbColor rgb="FF00B0F0"/>
      <rgbColor rgb="FFDEEAF1"/>
      <rgbColor rgb="FFE2EFDA"/>
      <rgbColor rgb="FFFCE4D6"/>
      <rgbColor rgb="FFD9D9D9"/>
      <rgbColor rgb="FFFFE7E7"/>
      <rgbColor rgb="FFEAE3F5"/>
      <rgbColor rgb="FFFFD966"/>
      <rgbColor rgb="FF2E75B6"/>
      <rgbColor rgb="FF33CCCC"/>
      <rgbColor rgb="FF9BBB59"/>
      <rgbColor rgb="FFFFCC00"/>
      <rgbColor rgb="FFFF9900"/>
      <rgbColor rgb="FFED7D31"/>
      <rgbColor rgb="FF4A7EBB"/>
      <rgbColor rgb="FF70AD47"/>
      <rgbColor rgb="FF1F3864"/>
      <rgbColor rgb="FF4F81BD"/>
      <rgbColor rgb="FF003300"/>
      <rgbColor rgb="FF333300"/>
      <rgbColor rgb="FF9E480E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Visualizations!$O$7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Visualizations!$N$8:$N$10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Appliances</c:v>
                </c:pt>
              </c:strCache>
            </c:strRef>
          </c:cat>
          <c:val>
            <c:numRef>
              <c:f>Visualizations!$O$8:$O$10</c:f>
              <c:numCache>
                <c:formatCode>\$#,##0.00</c:formatCode>
                <c:ptCount val="3"/>
                <c:pt idx="0">
                  <c:v>171756.05000000013</c:v>
                </c:pt>
                <c:pt idx="1">
                  <c:v>49097.680000000015</c:v>
                </c:pt>
                <c:pt idx="2">
                  <c:v>8338.7399999999961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3-4F31-B2CF-3AD726D41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92178"/>
        <c:axId val="34664572"/>
      </c:barChart>
      <c:catAx>
        <c:axId val="51921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664572"/>
        <c:crosses val="autoZero"/>
        <c:auto val="1"/>
        <c:lblAlgn val="ctr"/>
        <c:lblOffset val="100"/>
        <c:noMultiLvlLbl val="0"/>
      </c:catAx>
      <c:valAx>
        <c:axId val="346645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921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Visualizations!$O$21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Visualizations!$N$22:$N$26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Visualizations!$O$22:$O$26</c:f>
              <c:numCache>
                <c:formatCode>\$#,##0.00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9-45A2-88EB-89A0408CA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736014"/>
        <c:axId val="3756814"/>
      </c:barChart>
      <c:catAx>
        <c:axId val="877360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56814"/>
        <c:crosses val="autoZero"/>
        <c:auto val="1"/>
        <c:lblAlgn val="ctr"/>
        <c:lblOffset val="100"/>
        <c:noMultiLvlLbl val="0"/>
      </c:catAx>
      <c:valAx>
        <c:axId val="37568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7360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Share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Visualizations!$O$7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AF-4776-B3F7-36C515E02F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AF-4776-B3F7-36C515E02F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9AF-4776-B3F7-36C515E02FEF}"/>
              </c:ext>
            </c:extLst>
          </c:dPt>
          <c:dLbls>
            <c:dLbl>
              <c:idx val="0"/>
              <c:layout/>
              <c:dLblPos val="in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9AF-4776-B3F7-36C515E02FEF}"/>
                </c:ext>
              </c:extLst>
            </c:dLbl>
            <c:dLbl>
              <c:idx val="1"/>
              <c:layout/>
              <c:dLblPos val="in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9AF-4776-B3F7-36C515E02FEF}"/>
                </c:ext>
              </c:extLst>
            </c:dLbl>
            <c:dLbl>
              <c:idx val="2"/>
              <c:layout/>
              <c:dLblPos val="in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49AF-4776-B3F7-36C515E02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1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Visualizations!$N$8:$N$10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Appliances</c:v>
                </c:pt>
              </c:strCache>
            </c:strRef>
          </c:cat>
          <c:val>
            <c:numRef>
              <c:f>Visualizations!$O$8:$O$10</c:f>
              <c:numCache>
                <c:formatCode>\$#,##0.00</c:formatCode>
                <c:ptCount val="3"/>
                <c:pt idx="0">
                  <c:v>171756.05000000013</c:v>
                </c:pt>
                <c:pt idx="1">
                  <c:v>49097.680000000015</c:v>
                </c:pt>
                <c:pt idx="2">
                  <c:v>8338.7399999999961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AF-4776-B3F7-36C515E02FE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Visualizations!$B$58</c:f>
              <c:strCache>
                <c:ptCount val="1"/>
                <c:pt idx="0">
                  <c:v>Revenue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Visualizations!$A$59:$A$71</c:f>
              <c:strCache>
                <c:ptCount val="13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</c:strCache>
            </c:strRef>
          </c:cat>
          <c:val>
            <c:numRef>
              <c:f>Visualizations!$B$59:$B$71</c:f>
              <c:numCache>
                <c:formatCode>\$#,##0.00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18479.400000000001</c:v>
                </c:pt>
                <c:pt idx="4">
                  <c:v>15759.43</c:v>
                </c:pt>
                <c:pt idx="5">
                  <c:v>12989.51</c:v>
                </c:pt>
                <c:pt idx="6">
                  <c:v>20609.52</c:v>
                </c:pt>
                <c:pt idx="7">
                  <c:v>12309.44</c:v>
                </c:pt>
                <c:pt idx="8">
                  <c:v>23039.3</c:v>
                </c:pt>
                <c:pt idx="9">
                  <c:v>25799.15</c:v>
                </c:pt>
                <c:pt idx="10">
                  <c:v>16069.38</c:v>
                </c:pt>
                <c:pt idx="11">
                  <c:v>19899.38</c:v>
                </c:pt>
                <c:pt idx="12">
                  <c:v>6979.83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3E-4E2D-8AB9-C99A157C4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4345616"/>
        <c:axId val="12004343"/>
      </c:lineChart>
      <c:catAx>
        <c:axId val="343456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004343"/>
        <c:crosses val="autoZero"/>
        <c:auto val="1"/>
        <c:lblAlgn val="ctr"/>
        <c:lblOffset val="100"/>
        <c:noMultiLvlLbl val="0"/>
      </c:catAx>
      <c:valAx>
        <c:axId val="120043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3456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5 Products by Revenue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Visualizations!$B$30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Visualizations!$A$31:$A$35</c:f>
              <c:strCache>
                <c:ptCount val="5"/>
                <c:pt idx="0">
                  <c:v>Laptop</c:v>
                </c:pt>
                <c:pt idx="1">
                  <c:v>Smartphone</c:v>
                </c:pt>
                <c:pt idx="2">
                  <c:v>Desk</c:v>
                </c:pt>
                <c:pt idx="3">
                  <c:v>Monitor</c:v>
                </c:pt>
                <c:pt idx="4">
                  <c:v>Bookshelf</c:v>
                </c:pt>
              </c:strCache>
            </c:strRef>
          </c:cat>
          <c:val>
            <c:numRef>
              <c:f>Visualizations!$B$31:$B$35</c:f>
              <c:numCache>
                <c:formatCode>\$#,##0.00</c:formatCode>
                <c:ptCount val="5"/>
                <c:pt idx="0">
                  <c:v>67499.25</c:v>
                </c:pt>
                <c:pt idx="1">
                  <c:v>67199.039999999994</c:v>
                </c:pt>
                <c:pt idx="2">
                  <c:v>23399.22</c:v>
                </c:pt>
                <c:pt idx="3">
                  <c:v>21999.119999999999</c:v>
                </c:pt>
                <c:pt idx="4">
                  <c:v>15298.979999999994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3-4868-9D80-D3D8FB179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864790"/>
        <c:axId val="93417931"/>
      </c:barChart>
      <c:catAx>
        <c:axId val="2986479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417931"/>
        <c:crosses val="autoZero"/>
        <c:auto val="1"/>
        <c:lblAlgn val="ctr"/>
        <c:lblOffset val="100"/>
        <c:noMultiLvlLbl val="0"/>
      </c:catAx>
      <c:valAx>
        <c:axId val="9341793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8647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Dashboard!$A$14:$A$16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Appliances</c:v>
                </c:pt>
              </c:strCache>
            </c:strRef>
          </c:cat>
          <c:val>
            <c:numRef>
              <c:f>Dashboard!$B$14:$B$16</c:f>
              <c:numCache>
                <c:formatCode>\$#,##0</c:formatCode>
                <c:ptCount val="3"/>
                <c:pt idx="0">
                  <c:v>171756.05000000013</c:v>
                </c:pt>
                <c:pt idx="1">
                  <c:v>49097.680000000015</c:v>
                </c:pt>
                <c:pt idx="2">
                  <c:v>8338.7399999999961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E-4151-9A99-7DC14702EF5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757865"/>
        <c:axId val="63863318"/>
      </c:barChart>
      <c:catAx>
        <c:axId val="777578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3318"/>
        <c:crosses val="autoZero"/>
        <c:auto val="1"/>
        <c:lblAlgn val="ctr"/>
        <c:lblOffset val="100"/>
        <c:noMultiLvlLbl val="0"/>
      </c:catAx>
      <c:valAx>
        <c:axId val="638633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5786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Segment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Dashboard!$P$13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C49-457C-81D4-2A5C297B4B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C49-457C-81D4-2A5C297B4B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C49-457C-81D4-2A5C297B4B5C}"/>
              </c:ext>
            </c:extLst>
          </c:dPt>
          <c:dLbls>
            <c:dLbl>
              <c:idx val="0"/>
              <c:layout/>
              <c:dLblPos val="in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C49-457C-81D4-2A5C297B4B5C}"/>
                </c:ext>
              </c:extLst>
            </c:dLbl>
            <c:dLbl>
              <c:idx val="1"/>
              <c:layout/>
              <c:dLblPos val="in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C49-457C-81D4-2A5C297B4B5C}"/>
                </c:ext>
              </c:extLst>
            </c:dLbl>
            <c:dLbl>
              <c:idx val="2"/>
              <c:layout/>
              <c:dLblPos val="in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BC49-457C-81D4-2A5C297B4B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1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Dashboard!$O$14:$O$16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Dashboard!$P$14:$P$16</c:f>
              <c:numCache>
                <c:formatCode>\$#,##0</c:formatCode>
                <c:ptCount val="3"/>
                <c:pt idx="0">
                  <c:v>62177.810000000019</c:v>
                </c:pt>
                <c:pt idx="1">
                  <c:v>84657.12000000001</c:v>
                </c:pt>
                <c:pt idx="2">
                  <c:v>82357.540000000037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49-457C-81D4-2A5C297B4B5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Dashboard!$I$13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Dashboard!$H$14:$H$18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Dashboard!$I$14:$I$18</c:f>
              <c:numCache>
                <c:formatCode>\$#,##0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0-453E-8113-6F20E269812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272844"/>
        <c:axId val="52140893"/>
      </c:barChart>
      <c:catAx>
        <c:axId val="5827284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0893"/>
        <c:crosses val="autoZero"/>
        <c:auto val="1"/>
        <c:lblAlgn val="ctr"/>
        <c:lblOffset val="100"/>
        <c:noMultiLvlLbl val="0"/>
      </c:catAx>
      <c:valAx>
        <c:axId val="5214089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728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188259</xdr:colOff>
      <xdr:row>2</xdr:row>
      <xdr:rowOff>80682</xdr:rowOff>
    </xdr:from>
    <xdr:to>
      <xdr:col>6</xdr:col>
      <xdr:colOff>323979</xdr:colOff>
      <xdr:row>25</xdr:row>
      <xdr:rowOff>29908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1013011</xdr:colOff>
      <xdr:row>28</xdr:row>
      <xdr:rowOff>170331</xdr:rowOff>
    </xdr:from>
    <xdr:to>
      <xdr:col>15</xdr:col>
      <xdr:colOff>117789</xdr:colOff>
      <xdr:row>52</xdr:row>
      <xdr:rowOff>11981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591671</xdr:colOff>
      <xdr:row>2</xdr:row>
      <xdr:rowOff>89647</xdr:rowOff>
    </xdr:from>
    <xdr:to>
      <xdr:col>12</xdr:col>
      <xdr:colOff>727391</xdr:colOff>
      <xdr:row>24</xdr:row>
      <xdr:rowOff>110230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421341</xdr:colOff>
      <xdr:row>52</xdr:row>
      <xdr:rowOff>62753</xdr:rowOff>
    </xdr:from>
    <xdr:to>
      <xdr:col>12</xdr:col>
      <xdr:colOff>648141</xdr:colOff>
      <xdr:row>81</xdr:row>
      <xdr:rowOff>2407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71719</xdr:colOff>
      <xdr:row>28</xdr:row>
      <xdr:rowOff>161366</xdr:rowOff>
    </xdr:from>
    <xdr:to>
      <xdr:col>8</xdr:col>
      <xdr:colOff>927439</xdr:colOff>
      <xdr:row>51</xdr:row>
      <xdr:rowOff>110592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448235</xdr:colOff>
      <xdr:row>27</xdr:row>
      <xdr:rowOff>39374</xdr:rowOff>
    </xdr:from>
    <xdr:to>
      <xdr:col>8</xdr:col>
      <xdr:colOff>88894</xdr:colOff>
      <xdr:row>49</xdr:row>
      <xdr:rowOff>1904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373531</xdr:colOff>
      <xdr:row>36</xdr:row>
      <xdr:rowOff>69256</xdr:rowOff>
    </xdr:from>
    <xdr:to>
      <xdr:col>22</xdr:col>
      <xdr:colOff>25539</xdr:colOff>
      <xdr:row>58</xdr:row>
      <xdr:rowOff>31787</xdr:rowOff>
    </xdr:to>
    <xdr:graphicFrame macro="">
      <xdr:nvGraphicFramePr>
        <xdr:cNvPr id="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313766</xdr:colOff>
      <xdr:row>49</xdr:row>
      <xdr:rowOff>188785</xdr:rowOff>
    </xdr:from>
    <xdr:to>
      <xdr:col>11</xdr:col>
      <xdr:colOff>536227</xdr:colOff>
      <xdr:row>71</xdr:row>
      <xdr:rowOff>151316</xdr:rowOff>
    </xdr:to>
    <xdr:graphicFrame macro="">
      <xdr:nvGraphicFramePr>
        <xdr:cNvPr id="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N251"/>
  <sheetViews>
    <sheetView zoomScaleNormal="100" workbookViewId="0">
      <pane ySplit="1" topLeftCell="A47" activePane="bottomLeft" state="frozen"/>
      <selection pane="bottomLeft" activeCell="Q19" sqref="Q19"/>
    </sheetView>
  </sheetViews>
  <sheetFormatPr defaultColWidth="8.6640625" defaultRowHeight="14.4" x14ac:dyDescent="0.3"/>
  <cols>
    <col min="1" max="1" width="17.77734375" style="1" customWidth="1"/>
    <col min="2" max="2" width="12" style="1" customWidth="1"/>
    <col min="3" max="3" width="15.88671875" style="1" customWidth="1"/>
    <col min="4" max="4" width="18" style="1" customWidth="1"/>
    <col min="5" max="5" width="16.109375" style="1" bestFit="1" customWidth="1"/>
    <col min="6" max="6" width="23.44140625" style="1" customWidth="1"/>
    <col min="7" max="7" width="14.33203125" style="1" bestFit="1" customWidth="1"/>
    <col min="8" max="8" width="13.6640625" style="1" bestFit="1" customWidth="1"/>
    <col min="9" max="9" width="15.44140625" style="1" bestFit="1" customWidth="1"/>
    <col min="10" max="10" width="18.21875" style="1" bestFit="1" customWidth="1"/>
    <col min="11" max="11" width="10" style="1" customWidth="1"/>
    <col min="12" max="12" width="21.88671875" style="1" customWidth="1"/>
    <col min="13" max="13" width="20.77734375" style="1" customWidth="1"/>
    <col min="14" max="14" width="18.6640625" style="1" customWidth="1"/>
  </cols>
  <sheetData>
    <row r="1" spans="1:14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" customHeight="1" x14ac:dyDescent="0.3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4">
        <v>3</v>
      </c>
      <c r="I2" s="5">
        <v>249.99</v>
      </c>
      <c r="J2" s="3" t="s">
        <v>21</v>
      </c>
      <c r="K2" s="3" t="s">
        <v>22</v>
      </c>
      <c r="L2" s="3" t="s">
        <v>23</v>
      </c>
      <c r="M2" s="3" t="s">
        <v>24</v>
      </c>
      <c r="N2" s="5">
        <v>749.97</v>
      </c>
    </row>
    <row r="3" spans="1:14" ht="15" customHeight="1" x14ac:dyDescent="0.3">
      <c r="A3" s="6" t="s">
        <v>25</v>
      </c>
      <c r="B3" s="6" t="s">
        <v>26</v>
      </c>
      <c r="C3" s="6" t="s">
        <v>27</v>
      </c>
      <c r="D3" s="6" t="s">
        <v>28</v>
      </c>
      <c r="E3" s="6" t="s">
        <v>18</v>
      </c>
      <c r="F3" s="6" t="s">
        <v>19</v>
      </c>
      <c r="G3" s="6" t="s">
        <v>20</v>
      </c>
      <c r="H3" s="7">
        <v>3</v>
      </c>
      <c r="I3" s="8">
        <v>249.99</v>
      </c>
      <c r="J3" s="6" t="s">
        <v>29</v>
      </c>
      <c r="K3" s="6" t="s">
        <v>22</v>
      </c>
      <c r="L3" s="6" t="s">
        <v>30</v>
      </c>
      <c r="M3" s="6" t="s">
        <v>31</v>
      </c>
      <c r="N3" s="8">
        <v>749.97</v>
      </c>
    </row>
    <row r="4" spans="1:14" ht="15" customHeight="1" x14ac:dyDescent="0.3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4">
        <v>3</v>
      </c>
      <c r="I4" s="5">
        <v>59.99</v>
      </c>
      <c r="J4" s="3" t="s">
        <v>39</v>
      </c>
      <c r="K4" s="3" t="s">
        <v>40</v>
      </c>
      <c r="L4" s="3" t="s">
        <v>41</v>
      </c>
      <c r="M4" s="3" t="s">
        <v>42</v>
      </c>
      <c r="N4" s="5">
        <v>179.97</v>
      </c>
    </row>
    <row r="5" spans="1:14" ht="15" customHeight="1" x14ac:dyDescent="0.3">
      <c r="A5" s="6" t="s">
        <v>43</v>
      </c>
      <c r="B5" s="6" t="s">
        <v>44</v>
      </c>
      <c r="C5" s="6" t="s">
        <v>45</v>
      </c>
      <c r="D5" s="6" t="s">
        <v>46</v>
      </c>
      <c r="E5" s="6" t="s">
        <v>36</v>
      </c>
      <c r="F5" s="6" t="s">
        <v>37</v>
      </c>
      <c r="G5" s="6" t="s">
        <v>38</v>
      </c>
      <c r="H5" s="7">
        <v>3</v>
      </c>
      <c r="I5" s="8">
        <v>59.99</v>
      </c>
      <c r="J5" s="6" t="s">
        <v>21</v>
      </c>
      <c r="K5" s="6" t="s">
        <v>47</v>
      </c>
      <c r="L5" s="6" t="s">
        <v>30</v>
      </c>
      <c r="M5" s="6" t="s">
        <v>48</v>
      </c>
      <c r="N5" s="8">
        <v>179.97</v>
      </c>
    </row>
    <row r="6" spans="1:14" ht="15" customHeight="1" x14ac:dyDescent="0.3">
      <c r="A6" s="3" t="s">
        <v>49</v>
      </c>
      <c r="B6" s="3" t="s">
        <v>44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4">
        <v>5</v>
      </c>
      <c r="I6" s="5">
        <v>149.99</v>
      </c>
      <c r="J6" s="3" t="s">
        <v>29</v>
      </c>
      <c r="K6" s="3" t="s">
        <v>47</v>
      </c>
      <c r="L6" s="3" t="s">
        <v>30</v>
      </c>
      <c r="M6" s="3" t="s">
        <v>55</v>
      </c>
      <c r="N6" s="5">
        <v>749.95</v>
      </c>
    </row>
    <row r="7" spans="1:14" ht="15" customHeight="1" x14ac:dyDescent="0.3">
      <c r="A7" s="6" t="s">
        <v>56</v>
      </c>
      <c r="B7" s="6" t="s">
        <v>57</v>
      </c>
      <c r="C7" s="6" t="s">
        <v>58</v>
      </c>
      <c r="D7" s="6" t="s">
        <v>59</v>
      </c>
      <c r="E7" s="6" t="s">
        <v>36</v>
      </c>
      <c r="F7" s="6" t="s">
        <v>37</v>
      </c>
      <c r="G7" s="6" t="s">
        <v>38</v>
      </c>
      <c r="H7" s="7">
        <v>2</v>
      </c>
      <c r="I7" s="8">
        <v>59.99</v>
      </c>
      <c r="J7" s="6" t="s">
        <v>21</v>
      </c>
      <c r="K7" s="6" t="s">
        <v>60</v>
      </c>
      <c r="L7" s="6" t="s">
        <v>41</v>
      </c>
      <c r="M7" s="6" t="s">
        <v>61</v>
      </c>
      <c r="N7" s="8">
        <v>119.98</v>
      </c>
    </row>
    <row r="8" spans="1:14" ht="15" customHeight="1" x14ac:dyDescent="0.3">
      <c r="A8" s="3" t="s">
        <v>62</v>
      </c>
      <c r="B8" s="3" t="s">
        <v>57</v>
      </c>
      <c r="C8" s="3" t="s">
        <v>58</v>
      </c>
      <c r="D8" s="3" t="s">
        <v>59</v>
      </c>
      <c r="E8" s="3" t="s">
        <v>63</v>
      </c>
      <c r="F8" s="3" t="s">
        <v>64</v>
      </c>
      <c r="G8" s="3" t="s">
        <v>20</v>
      </c>
      <c r="H8" s="4">
        <v>5</v>
      </c>
      <c r="I8" s="5">
        <v>149.99</v>
      </c>
      <c r="J8" s="3" t="s">
        <v>29</v>
      </c>
      <c r="K8" s="3" t="s">
        <v>22</v>
      </c>
      <c r="L8" s="3" t="s">
        <v>41</v>
      </c>
      <c r="M8" s="3" t="s">
        <v>65</v>
      </c>
      <c r="N8" s="5">
        <v>749.95</v>
      </c>
    </row>
    <row r="9" spans="1:14" ht="15" customHeight="1" x14ac:dyDescent="0.3">
      <c r="A9" s="6" t="s">
        <v>66</v>
      </c>
      <c r="B9" s="6" t="s">
        <v>57</v>
      </c>
      <c r="C9" s="6" t="s">
        <v>67</v>
      </c>
      <c r="D9" s="6" t="s">
        <v>68</v>
      </c>
      <c r="E9" s="6" t="s">
        <v>36</v>
      </c>
      <c r="F9" s="6" t="s">
        <v>37</v>
      </c>
      <c r="G9" s="6" t="s">
        <v>38</v>
      </c>
      <c r="H9" s="7">
        <v>3</v>
      </c>
      <c r="I9" s="8">
        <v>59.99</v>
      </c>
      <c r="J9" s="6" t="s">
        <v>69</v>
      </c>
      <c r="K9" s="6" t="s">
        <v>40</v>
      </c>
      <c r="L9" s="6" t="s">
        <v>23</v>
      </c>
      <c r="M9" s="6" t="s">
        <v>70</v>
      </c>
      <c r="N9" s="8">
        <v>179.97</v>
      </c>
    </row>
    <row r="10" spans="1:14" ht="15" customHeight="1" x14ac:dyDescent="0.3">
      <c r="A10" s="3" t="s">
        <v>71</v>
      </c>
      <c r="B10" s="3" t="s">
        <v>72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20</v>
      </c>
      <c r="H10" s="4">
        <v>3</v>
      </c>
      <c r="I10" s="5">
        <v>899.99</v>
      </c>
      <c r="J10" s="3" t="s">
        <v>39</v>
      </c>
      <c r="K10" s="3" t="s">
        <v>77</v>
      </c>
      <c r="L10" s="3" t="s">
        <v>41</v>
      </c>
      <c r="M10" s="3" t="s">
        <v>78</v>
      </c>
      <c r="N10" s="5">
        <v>2699.97</v>
      </c>
    </row>
    <row r="11" spans="1:14" ht="15" customHeight="1" x14ac:dyDescent="0.3">
      <c r="A11" s="6" t="s">
        <v>79</v>
      </c>
      <c r="B11" s="6" t="s">
        <v>80</v>
      </c>
      <c r="C11" s="6" t="s">
        <v>81</v>
      </c>
      <c r="D11" s="6" t="s">
        <v>82</v>
      </c>
      <c r="E11" s="6" t="s">
        <v>36</v>
      </c>
      <c r="F11" s="6" t="s">
        <v>37</v>
      </c>
      <c r="G11" s="6" t="s">
        <v>38</v>
      </c>
      <c r="H11" s="7">
        <v>3</v>
      </c>
      <c r="I11" s="8">
        <v>59.99</v>
      </c>
      <c r="J11" s="6" t="s">
        <v>21</v>
      </c>
      <c r="K11" s="6" t="s">
        <v>60</v>
      </c>
      <c r="L11" s="6" t="s">
        <v>30</v>
      </c>
      <c r="M11" s="6" t="s">
        <v>83</v>
      </c>
      <c r="N11" s="8">
        <v>179.97</v>
      </c>
    </row>
    <row r="12" spans="1:14" ht="15" customHeight="1" x14ac:dyDescent="0.3">
      <c r="A12" s="3" t="s">
        <v>84</v>
      </c>
      <c r="B12" s="3" t="s">
        <v>80</v>
      </c>
      <c r="C12" s="3" t="s">
        <v>85</v>
      </c>
      <c r="D12" s="3" t="s">
        <v>86</v>
      </c>
      <c r="E12" s="3" t="s">
        <v>52</v>
      </c>
      <c r="F12" s="3" t="s">
        <v>53</v>
      </c>
      <c r="G12" s="3" t="s">
        <v>54</v>
      </c>
      <c r="H12" s="4">
        <v>1</v>
      </c>
      <c r="I12" s="5">
        <v>149.99</v>
      </c>
      <c r="J12" s="3" t="s">
        <v>29</v>
      </c>
      <c r="K12" s="3" t="s">
        <v>60</v>
      </c>
      <c r="L12" s="3" t="s">
        <v>41</v>
      </c>
      <c r="M12" s="3" t="s">
        <v>87</v>
      </c>
      <c r="N12" s="5">
        <v>149.99</v>
      </c>
    </row>
    <row r="13" spans="1:14" ht="15" customHeight="1" x14ac:dyDescent="0.3">
      <c r="A13" s="6" t="s">
        <v>88</v>
      </c>
      <c r="B13" s="6" t="s">
        <v>80</v>
      </c>
      <c r="C13" s="6" t="s">
        <v>45</v>
      </c>
      <c r="D13" s="6" t="s">
        <v>46</v>
      </c>
      <c r="E13" s="6" t="s">
        <v>52</v>
      </c>
      <c r="F13" s="6" t="s">
        <v>53</v>
      </c>
      <c r="G13" s="6" t="s">
        <v>54</v>
      </c>
      <c r="H13" s="7">
        <v>5</v>
      </c>
      <c r="I13" s="8">
        <v>149.99</v>
      </c>
      <c r="J13" s="6" t="s">
        <v>69</v>
      </c>
      <c r="K13" s="6" t="s">
        <v>47</v>
      </c>
      <c r="L13" s="6" t="s">
        <v>23</v>
      </c>
      <c r="M13" s="6" t="s">
        <v>89</v>
      </c>
      <c r="N13" s="8">
        <v>749.95</v>
      </c>
    </row>
    <row r="14" spans="1:14" ht="15" customHeight="1" x14ac:dyDescent="0.3">
      <c r="A14" s="3" t="s">
        <v>90</v>
      </c>
      <c r="B14" s="3" t="s">
        <v>80</v>
      </c>
      <c r="C14" s="3" t="s">
        <v>91</v>
      </c>
      <c r="D14" s="3" t="s">
        <v>92</v>
      </c>
      <c r="E14" s="3" t="s">
        <v>52</v>
      </c>
      <c r="F14" s="3" t="s">
        <v>53</v>
      </c>
      <c r="G14" s="3" t="s">
        <v>54</v>
      </c>
      <c r="H14" s="4">
        <v>3</v>
      </c>
      <c r="I14" s="5">
        <v>149.99</v>
      </c>
      <c r="J14" s="3" t="s">
        <v>21</v>
      </c>
      <c r="K14" s="3" t="s">
        <v>47</v>
      </c>
      <c r="L14" s="3" t="s">
        <v>30</v>
      </c>
      <c r="M14" s="3" t="s">
        <v>93</v>
      </c>
      <c r="N14" s="5">
        <v>449.97</v>
      </c>
    </row>
    <row r="15" spans="1:14" ht="15" customHeight="1" x14ac:dyDescent="0.3">
      <c r="A15" s="6" t="s">
        <v>94</v>
      </c>
      <c r="B15" s="6" t="s">
        <v>95</v>
      </c>
      <c r="C15" s="6" t="s">
        <v>96</v>
      </c>
      <c r="D15" s="6" t="s">
        <v>97</v>
      </c>
      <c r="E15" s="6" t="s">
        <v>36</v>
      </c>
      <c r="F15" s="6" t="s">
        <v>37</v>
      </c>
      <c r="G15" s="6" t="s">
        <v>38</v>
      </c>
      <c r="H15" s="7">
        <v>3</v>
      </c>
      <c r="I15" s="8">
        <v>59.99</v>
      </c>
      <c r="J15" s="6" t="s">
        <v>29</v>
      </c>
      <c r="K15" s="6" t="s">
        <v>47</v>
      </c>
      <c r="L15" s="6" t="s">
        <v>41</v>
      </c>
      <c r="M15" s="6" t="s">
        <v>98</v>
      </c>
      <c r="N15" s="8">
        <v>179.97</v>
      </c>
    </row>
    <row r="16" spans="1:14" ht="15" customHeight="1" x14ac:dyDescent="0.3">
      <c r="A16" s="3" t="s">
        <v>99</v>
      </c>
      <c r="B16" s="3" t="s">
        <v>95</v>
      </c>
      <c r="C16" s="3" t="s">
        <v>100</v>
      </c>
      <c r="D16" s="3" t="s">
        <v>101</v>
      </c>
      <c r="E16" s="3" t="s">
        <v>102</v>
      </c>
      <c r="F16" s="3" t="s">
        <v>103</v>
      </c>
      <c r="G16" s="3" t="s">
        <v>20</v>
      </c>
      <c r="H16" s="4">
        <v>3</v>
      </c>
      <c r="I16" s="5">
        <v>699.99</v>
      </c>
      <c r="J16" s="3" t="s">
        <v>29</v>
      </c>
      <c r="K16" s="3" t="s">
        <v>60</v>
      </c>
      <c r="L16" s="3" t="s">
        <v>23</v>
      </c>
      <c r="M16" s="3" t="s">
        <v>104</v>
      </c>
      <c r="N16" s="5">
        <v>2099.9699999999998</v>
      </c>
    </row>
    <row r="17" spans="1:14" ht="15" customHeight="1" x14ac:dyDescent="0.3">
      <c r="A17" s="6" t="s">
        <v>105</v>
      </c>
      <c r="B17" s="6" t="s">
        <v>95</v>
      </c>
      <c r="C17" s="6" t="s">
        <v>106</v>
      </c>
      <c r="D17" s="6" t="s">
        <v>107</v>
      </c>
      <c r="E17" s="6" t="s">
        <v>75</v>
      </c>
      <c r="F17" s="6" t="s">
        <v>76</v>
      </c>
      <c r="G17" s="6" t="s">
        <v>20</v>
      </c>
      <c r="H17" s="7">
        <v>1</v>
      </c>
      <c r="I17" s="8">
        <v>899.99</v>
      </c>
      <c r="J17" s="6" t="s">
        <v>69</v>
      </c>
      <c r="K17" s="6" t="s">
        <v>47</v>
      </c>
      <c r="L17" s="6" t="s">
        <v>41</v>
      </c>
      <c r="M17" s="6" t="s">
        <v>108</v>
      </c>
      <c r="N17" s="8">
        <v>899.99</v>
      </c>
    </row>
    <row r="18" spans="1:14" ht="15" customHeight="1" x14ac:dyDescent="0.3">
      <c r="A18" s="3" t="s">
        <v>109</v>
      </c>
      <c r="B18" s="3" t="s">
        <v>110</v>
      </c>
      <c r="C18" s="3" t="s">
        <v>111</v>
      </c>
      <c r="D18" s="3" t="s">
        <v>112</v>
      </c>
      <c r="E18" s="3" t="s">
        <v>52</v>
      </c>
      <c r="F18" s="3" t="s">
        <v>53</v>
      </c>
      <c r="G18" s="3" t="s">
        <v>54</v>
      </c>
      <c r="H18" s="4">
        <v>4</v>
      </c>
      <c r="I18" s="5">
        <v>149.99</v>
      </c>
      <c r="J18" s="3" t="s">
        <v>69</v>
      </c>
      <c r="K18" s="3" t="s">
        <v>47</v>
      </c>
      <c r="L18" s="3" t="s">
        <v>30</v>
      </c>
      <c r="M18" s="3" t="s">
        <v>113</v>
      </c>
      <c r="N18" s="5">
        <v>599.96</v>
      </c>
    </row>
    <row r="19" spans="1:14" ht="15" customHeight="1" x14ac:dyDescent="0.3">
      <c r="A19" s="6" t="s">
        <v>114</v>
      </c>
      <c r="B19" s="6" t="s">
        <v>110</v>
      </c>
      <c r="C19" s="6" t="s">
        <v>115</v>
      </c>
      <c r="D19" s="6" t="s">
        <v>116</v>
      </c>
      <c r="E19" s="6" t="s">
        <v>102</v>
      </c>
      <c r="F19" s="6" t="s">
        <v>103</v>
      </c>
      <c r="G19" s="6" t="s">
        <v>20</v>
      </c>
      <c r="H19" s="7">
        <v>2</v>
      </c>
      <c r="I19" s="8">
        <v>699.99</v>
      </c>
      <c r="J19" s="6" t="s">
        <v>21</v>
      </c>
      <c r="K19" s="6" t="s">
        <v>47</v>
      </c>
      <c r="L19" s="6" t="s">
        <v>23</v>
      </c>
      <c r="M19" s="6" t="s">
        <v>117</v>
      </c>
      <c r="N19" s="8">
        <v>1399.98</v>
      </c>
    </row>
    <row r="20" spans="1:14" ht="15" customHeight="1" x14ac:dyDescent="0.3">
      <c r="A20" s="3" t="s">
        <v>118</v>
      </c>
      <c r="B20" s="3" t="s">
        <v>110</v>
      </c>
      <c r="C20" s="3" t="s">
        <v>111</v>
      </c>
      <c r="D20" s="3" t="s">
        <v>112</v>
      </c>
      <c r="E20" s="3" t="s">
        <v>75</v>
      </c>
      <c r="F20" s="3" t="s">
        <v>76</v>
      </c>
      <c r="G20" s="3" t="s">
        <v>20</v>
      </c>
      <c r="H20" s="4">
        <v>4</v>
      </c>
      <c r="I20" s="5">
        <v>899.99</v>
      </c>
      <c r="J20" s="3" t="s">
        <v>29</v>
      </c>
      <c r="K20" s="3" t="s">
        <v>60</v>
      </c>
      <c r="L20" s="3" t="s">
        <v>41</v>
      </c>
      <c r="M20" s="3" t="s">
        <v>119</v>
      </c>
      <c r="N20" s="5">
        <v>3599.96</v>
      </c>
    </row>
    <row r="21" spans="1:14" ht="15" customHeight="1" x14ac:dyDescent="0.3">
      <c r="A21" s="6" t="s">
        <v>120</v>
      </c>
      <c r="B21" s="6" t="s">
        <v>110</v>
      </c>
      <c r="C21" s="6" t="s">
        <v>121</v>
      </c>
      <c r="D21" s="6" t="s">
        <v>122</v>
      </c>
      <c r="E21" s="6" t="s">
        <v>18</v>
      </c>
      <c r="F21" s="6" t="s">
        <v>19</v>
      </c>
      <c r="G21" s="6" t="s">
        <v>20</v>
      </c>
      <c r="H21" s="7">
        <v>3</v>
      </c>
      <c r="I21" s="8">
        <v>249.99</v>
      </c>
      <c r="J21" s="6" t="s">
        <v>29</v>
      </c>
      <c r="K21" s="6" t="s">
        <v>47</v>
      </c>
      <c r="L21" s="6" t="s">
        <v>30</v>
      </c>
      <c r="M21" s="6" t="s">
        <v>123</v>
      </c>
      <c r="N21" s="8">
        <v>749.97</v>
      </c>
    </row>
    <row r="22" spans="1:14" ht="15" customHeight="1" x14ac:dyDescent="0.3">
      <c r="A22" s="3" t="s">
        <v>124</v>
      </c>
      <c r="B22" s="3" t="s">
        <v>125</v>
      </c>
      <c r="C22" s="3" t="s">
        <v>126</v>
      </c>
      <c r="D22" s="3" t="s">
        <v>127</v>
      </c>
      <c r="E22" s="3" t="s">
        <v>102</v>
      </c>
      <c r="F22" s="3" t="s">
        <v>103</v>
      </c>
      <c r="G22" s="3" t="s">
        <v>20</v>
      </c>
      <c r="H22" s="4">
        <v>5</v>
      </c>
      <c r="I22" s="5">
        <v>699.99</v>
      </c>
      <c r="J22" s="3" t="s">
        <v>21</v>
      </c>
      <c r="K22" s="3" t="s">
        <v>60</v>
      </c>
      <c r="L22" s="3" t="s">
        <v>23</v>
      </c>
      <c r="M22" s="3" t="s">
        <v>128</v>
      </c>
      <c r="N22" s="5">
        <v>3499.95</v>
      </c>
    </row>
    <row r="23" spans="1:14" ht="15" customHeight="1" x14ac:dyDescent="0.3">
      <c r="A23" s="6" t="s">
        <v>129</v>
      </c>
      <c r="B23" s="6" t="s">
        <v>130</v>
      </c>
      <c r="C23" s="6" t="s">
        <v>131</v>
      </c>
      <c r="D23" s="6" t="s">
        <v>132</v>
      </c>
      <c r="E23" s="6" t="s">
        <v>102</v>
      </c>
      <c r="F23" s="6" t="s">
        <v>103</v>
      </c>
      <c r="G23" s="6" t="s">
        <v>20</v>
      </c>
      <c r="H23" s="7">
        <v>4</v>
      </c>
      <c r="I23" s="8">
        <v>699.99</v>
      </c>
      <c r="J23" s="6" t="s">
        <v>21</v>
      </c>
      <c r="K23" s="6" t="s">
        <v>77</v>
      </c>
      <c r="L23" s="6" t="s">
        <v>41</v>
      </c>
      <c r="M23" s="6" t="s">
        <v>133</v>
      </c>
      <c r="N23" s="8">
        <v>2799.96</v>
      </c>
    </row>
    <row r="24" spans="1:14" ht="15" customHeight="1" x14ac:dyDescent="0.3">
      <c r="A24" s="3" t="s">
        <v>134</v>
      </c>
      <c r="B24" s="3" t="s">
        <v>135</v>
      </c>
      <c r="C24" s="3" t="s">
        <v>136</v>
      </c>
      <c r="D24" s="3" t="s">
        <v>137</v>
      </c>
      <c r="E24" s="3" t="s">
        <v>18</v>
      </c>
      <c r="F24" s="3" t="s">
        <v>19</v>
      </c>
      <c r="G24" s="3" t="s">
        <v>20</v>
      </c>
      <c r="H24" s="4">
        <v>4</v>
      </c>
      <c r="I24" s="5">
        <v>249.99</v>
      </c>
      <c r="J24" s="3" t="s">
        <v>39</v>
      </c>
      <c r="K24" s="3" t="s">
        <v>47</v>
      </c>
      <c r="L24" s="3" t="s">
        <v>41</v>
      </c>
      <c r="M24" s="3" t="s">
        <v>138</v>
      </c>
      <c r="N24" s="5">
        <v>999.96</v>
      </c>
    </row>
    <row r="25" spans="1:14" ht="15" customHeight="1" x14ac:dyDescent="0.3">
      <c r="A25" s="6" t="s">
        <v>139</v>
      </c>
      <c r="B25" s="6" t="s">
        <v>140</v>
      </c>
      <c r="C25" s="6" t="s">
        <v>111</v>
      </c>
      <c r="D25" s="6" t="s">
        <v>112</v>
      </c>
      <c r="E25" s="6" t="s">
        <v>141</v>
      </c>
      <c r="F25" s="6" t="s">
        <v>142</v>
      </c>
      <c r="G25" s="6" t="s">
        <v>54</v>
      </c>
      <c r="H25" s="7">
        <v>4</v>
      </c>
      <c r="I25" s="8">
        <v>299.99</v>
      </c>
      <c r="J25" s="6" t="s">
        <v>21</v>
      </c>
      <c r="K25" s="6" t="s">
        <v>60</v>
      </c>
      <c r="L25" s="6" t="s">
        <v>30</v>
      </c>
      <c r="M25" s="6" t="s">
        <v>143</v>
      </c>
      <c r="N25" s="8">
        <v>1199.96</v>
      </c>
    </row>
    <row r="26" spans="1:14" ht="15" customHeight="1" x14ac:dyDescent="0.3">
      <c r="A26" s="3" t="s">
        <v>144</v>
      </c>
      <c r="B26" s="3" t="s">
        <v>145</v>
      </c>
      <c r="C26" s="3" t="s">
        <v>146</v>
      </c>
      <c r="D26" s="3" t="s">
        <v>147</v>
      </c>
      <c r="E26" s="3" t="s">
        <v>18</v>
      </c>
      <c r="F26" s="3" t="s">
        <v>19</v>
      </c>
      <c r="G26" s="3" t="s">
        <v>20</v>
      </c>
      <c r="H26" s="4">
        <v>5</v>
      </c>
      <c r="I26" s="5">
        <v>249.99</v>
      </c>
      <c r="J26" s="3" t="s">
        <v>29</v>
      </c>
      <c r="K26" s="3" t="s">
        <v>60</v>
      </c>
      <c r="L26" s="3" t="s">
        <v>41</v>
      </c>
      <c r="M26" s="3" t="s">
        <v>148</v>
      </c>
      <c r="N26" s="5">
        <v>1249.95</v>
      </c>
    </row>
    <row r="27" spans="1:14" ht="15" customHeight="1" x14ac:dyDescent="0.3">
      <c r="A27" s="6" t="s">
        <v>149</v>
      </c>
      <c r="B27" s="6" t="s">
        <v>150</v>
      </c>
      <c r="C27" s="6" t="s">
        <v>85</v>
      </c>
      <c r="D27" s="6" t="s">
        <v>86</v>
      </c>
      <c r="E27" s="6" t="s">
        <v>141</v>
      </c>
      <c r="F27" s="6" t="s">
        <v>142</v>
      </c>
      <c r="G27" s="6" t="s">
        <v>54</v>
      </c>
      <c r="H27" s="7">
        <v>5</v>
      </c>
      <c r="I27" s="8">
        <v>299.99</v>
      </c>
      <c r="J27" s="6" t="s">
        <v>39</v>
      </c>
      <c r="K27" s="6" t="s">
        <v>77</v>
      </c>
      <c r="L27" s="6" t="s">
        <v>23</v>
      </c>
      <c r="M27" s="6" t="s">
        <v>151</v>
      </c>
      <c r="N27" s="8">
        <v>1499.95</v>
      </c>
    </row>
    <row r="28" spans="1:14" ht="15" customHeight="1" x14ac:dyDescent="0.3">
      <c r="A28" s="3" t="s">
        <v>152</v>
      </c>
      <c r="B28" s="3" t="s">
        <v>150</v>
      </c>
      <c r="C28" s="3" t="s">
        <v>153</v>
      </c>
      <c r="D28" s="3" t="s">
        <v>154</v>
      </c>
      <c r="E28" s="3" t="s">
        <v>155</v>
      </c>
      <c r="F28" s="3" t="s">
        <v>156</v>
      </c>
      <c r="G28" s="3" t="s">
        <v>38</v>
      </c>
      <c r="H28" s="4">
        <v>3</v>
      </c>
      <c r="I28" s="5">
        <v>79.989999999999995</v>
      </c>
      <c r="J28" s="3" t="s">
        <v>39</v>
      </c>
      <c r="K28" s="3" t="s">
        <v>77</v>
      </c>
      <c r="L28" s="3" t="s">
        <v>30</v>
      </c>
      <c r="M28" s="3" t="s">
        <v>157</v>
      </c>
      <c r="N28" s="5">
        <v>239.97</v>
      </c>
    </row>
    <row r="29" spans="1:14" ht="15" customHeight="1" x14ac:dyDescent="0.3">
      <c r="A29" s="6" t="s">
        <v>158</v>
      </c>
      <c r="B29" s="6" t="s">
        <v>150</v>
      </c>
      <c r="C29" s="6" t="s">
        <v>131</v>
      </c>
      <c r="D29" s="6" t="s">
        <v>132</v>
      </c>
      <c r="E29" s="6" t="s">
        <v>159</v>
      </c>
      <c r="F29" s="6" t="s">
        <v>160</v>
      </c>
      <c r="G29" s="6" t="s">
        <v>20</v>
      </c>
      <c r="H29" s="7">
        <v>5</v>
      </c>
      <c r="I29" s="8">
        <v>89.99</v>
      </c>
      <c r="J29" s="6" t="s">
        <v>21</v>
      </c>
      <c r="K29" s="6" t="s">
        <v>47</v>
      </c>
      <c r="L29" s="6" t="s">
        <v>30</v>
      </c>
      <c r="M29" s="6" t="s">
        <v>161</v>
      </c>
      <c r="N29" s="8">
        <v>449.95</v>
      </c>
    </row>
    <row r="30" spans="1:14" ht="15" customHeight="1" x14ac:dyDescent="0.3">
      <c r="A30" s="3" t="s">
        <v>162</v>
      </c>
      <c r="B30" s="3" t="s">
        <v>163</v>
      </c>
      <c r="C30" s="3" t="s">
        <v>164</v>
      </c>
      <c r="D30" s="3" t="s">
        <v>165</v>
      </c>
      <c r="E30" s="3" t="s">
        <v>36</v>
      </c>
      <c r="F30" s="3" t="s">
        <v>37</v>
      </c>
      <c r="G30" s="3" t="s">
        <v>38</v>
      </c>
      <c r="H30" s="4">
        <v>2</v>
      </c>
      <c r="I30" s="5">
        <v>59.99</v>
      </c>
      <c r="J30" s="3" t="s">
        <v>69</v>
      </c>
      <c r="K30" s="3" t="s">
        <v>22</v>
      </c>
      <c r="L30" s="3" t="s">
        <v>41</v>
      </c>
      <c r="M30" s="3" t="s">
        <v>166</v>
      </c>
      <c r="N30" s="5">
        <v>119.98</v>
      </c>
    </row>
    <row r="31" spans="1:14" ht="15" customHeight="1" x14ac:dyDescent="0.3">
      <c r="A31" s="6" t="s">
        <v>167</v>
      </c>
      <c r="B31" s="6" t="s">
        <v>168</v>
      </c>
      <c r="C31" s="6" t="s">
        <v>169</v>
      </c>
      <c r="D31" s="6" t="s">
        <v>170</v>
      </c>
      <c r="E31" s="6" t="s">
        <v>36</v>
      </c>
      <c r="F31" s="6" t="s">
        <v>37</v>
      </c>
      <c r="G31" s="6" t="s">
        <v>38</v>
      </c>
      <c r="H31" s="7">
        <v>4</v>
      </c>
      <c r="I31" s="8">
        <v>59.99</v>
      </c>
      <c r="J31" s="6" t="s">
        <v>69</v>
      </c>
      <c r="K31" s="6" t="s">
        <v>77</v>
      </c>
      <c r="L31" s="6" t="s">
        <v>41</v>
      </c>
      <c r="M31" s="6" t="s">
        <v>171</v>
      </c>
      <c r="N31" s="8">
        <v>239.96</v>
      </c>
    </row>
    <row r="32" spans="1:14" ht="15" customHeight="1" x14ac:dyDescent="0.3">
      <c r="A32" s="3" t="s">
        <v>172</v>
      </c>
      <c r="B32" s="3" t="s">
        <v>168</v>
      </c>
      <c r="C32" s="3" t="s">
        <v>67</v>
      </c>
      <c r="D32" s="3" t="s">
        <v>68</v>
      </c>
      <c r="E32" s="3" t="s">
        <v>173</v>
      </c>
      <c r="F32" s="3" t="s">
        <v>174</v>
      </c>
      <c r="G32" s="3" t="s">
        <v>54</v>
      </c>
      <c r="H32" s="4">
        <v>5</v>
      </c>
      <c r="I32" s="5">
        <v>199.99</v>
      </c>
      <c r="J32" s="3" t="s">
        <v>21</v>
      </c>
      <c r="K32" s="3" t="s">
        <v>40</v>
      </c>
      <c r="L32" s="3" t="s">
        <v>41</v>
      </c>
      <c r="M32" s="3" t="s">
        <v>175</v>
      </c>
      <c r="N32" s="5">
        <v>999.95</v>
      </c>
    </row>
    <row r="33" spans="1:14" ht="15" customHeight="1" x14ac:dyDescent="0.3">
      <c r="A33" s="6" t="s">
        <v>176</v>
      </c>
      <c r="B33" s="6" t="s">
        <v>177</v>
      </c>
      <c r="C33" s="6" t="s">
        <v>178</v>
      </c>
      <c r="D33" s="6" t="s">
        <v>179</v>
      </c>
      <c r="E33" s="6" t="s">
        <v>52</v>
      </c>
      <c r="F33" s="6" t="s">
        <v>53</v>
      </c>
      <c r="G33" s="6" t="s">
        <v>54</v>
      </c>
      <c r="H33" s="7">
        <v>2</v>
      </c>
      <c r="I33" s="8">
        <v>149.99</v>
      </c>
      <c r="J33" s="6" t="s">
        <v>29</v>
      </c>
      <c r="K33" s="6" t="s">
        <v>60</v>
      </c>
      <c r="L33" s="6" t="s">
        <v>23</v>
      </c>
      <c r="M33" s="6" t="s">
        <v>180</v>
      </c>
      <c r="N33" s="8">
        <v>299.98</v>
      </c>
    </row>
    <row r="34" spans="1:14" ht="15" customHeight="1" x14ac:dyDescent="0.3">
      <c r="A34" s="3" t="s">
        <v>181</v>
      </c>
      <c r="B34" s="3" t="s">
        <v>182</v>
      </c>
      <c r="C34" s="3" t="s">
        <v>183</v>
      </c>
      <c r="D34" s="3" t="s">
        <v>184</v>
      </c>
      <c r="E34" s="3" t="s">
        <v>52</v>
      </c>
      <c r="F34" s="3" t="s">
        <v>53</v>
      </c>
      <c r="G34" s="3" t="s">
        <v>54</v>
      </c>
      <c r="H34" s="4">
        <v>3</v>
      </c>
      <c r="I34" s="5">
        <v>149.99</v>
      </c>
      <c r="J34" s="3" t="s">
        <v>29</v>
      </c>
      <c r="K34" s="3" t="s">
        <v>60</v>
      </c>
      <c r="L34" s="3" t="s">
        <v>30</v>
      </c>
      <c r="M34" s="3" t="s">
        <v>185</v>
      </c>
      <c r="N34" s="5">
        <v>449.97</v>
      </c>
    </row>
    <row r="35" spans="1:14" ht="15" customHeight="1" x14ac:dyDescent="0.3">
      <c r="A35" s="6" t="s">
        <v>186</v>
      </c>
      <c r="B35" s="6" t="s">
        <v>187</v>
      </c>
      <c r="C35" s="6" t="s">
        <v>34</v>
      </c>
      <c r="D35" s="6" t="s">
        <v>35</v>
      </c>
      <c r="E35" s="6" t="s">
        <v>75</v>
      </c>
      <c r="F35" s="6" t="s">
        <v>76</v>
      </c>
      <c r="G35" s="6" t="s">
        <v>20</v>
      </c>
      <c r="H35" s="7">
        <v>1</v>
      </c>
      <c r="I35" s="8">
        <v>899.99</v>
      </c>
      <c r="J35" s="6" t="s">
        <v>29</v>
      </c>
      <c r="K35" s="6" t="s">
        <v>60</v>
      </c>
      <c r="L35" s="6" t="s">
        <v>30</v>
      </c>
      <c r="M35" s="6" t="s">
        <v>188</v>
      </c>
      <c r="N35" s="8">
        <v>899.99</v>
      </c>
    </row>
    <row r="36" spans="1:14" ht="15" customHeight="1" x14ac:dyDescent="0.3">
      <c r="A36" s="3" t="s">
        <v>189</v>
      </c>
      <c r="B36" s="3" t="s">
        <v>190</v>
      </c>
      <c r="C36" s="3" t="s">
        <v>131</v>
      </c>
      <c r="D36" s="3" t="s">
        <v>132</v>
      </c>
      <c r="E36" s="3" t="s">
        <v>141</v>
      </c>
      <c r="F36" s="3" t="s">
        <v>142</v>
      </c>
      <c r="G36" s="3" t="s">
        <v>54</v>
      </c>
      <c r="H36" s="4">
        <v>3</v>
      </c>
      <c r="I36" s="5">
        <v>299.99</v>
      </c>
      <c r="J36" s="3" t="s">
        <v>29</v>
      </c>
      <c r="K36" s="3" t="s">
        <v>77</v>
      </c>
      <c r="L36" s="3" t="s">
        <v>23</v>
      </c>
      <c r="M36" s="3" t="s">
        <v>191</v>
      </c>
      <c r="N36" s="5">
        <v>899.97</v>
      </c>
    </row>
    <row r="37" spans="1:14" ht="15" customHeight="1" x14ac:dyDescent="0.3">
      <c r="A37" s="6" t="s">
        <v>192</v>
      </c>
      <c r="B37" s="6" t="s">
        <v>193</v>
      </c>
      <c r="C37" s="6" t="s">
        <v>178</v>
      </c>
      <c r="D37" s="6" t="s">
        <v>179</v>
      </c>
      <c r="E37" s="6" t="s">
        <v>155</v>
      </c>
      <c r="F37" s="6" t="s">
        <v>156</v>
      </c>
      <c r="G37" s="6" t="s">
        <v>38</v>
      </c>
      <c r="H37" s="7">
        <v>3</v>
      </c>
      <c r="I37" s="8">
        <v>79.989999999999995</v>
      </c>
      <c r="J37" s="6" t="s">
        <v>21</v>
      </c>
      <c r="K37" s="6" t="s">
        <v>40</v>
      </c>
      <c r="L37" s="6" t="s">
        <v>23</v>
      </c>
      <c r="M37" s="6" t="s">
        <v>194</v>
      </c>
      <c r="N37" s="8">
        <v>239.97</v>
      </c>
    </row>
    <row r="38" spans="1:14" ht="15" customHeight="1" x14ac:dyDescent="0.3">
      <c r="A38" s="3" t="s">
        <v>195</v>
      </c>
      <c r="B38" s="3" t="s">
        <v>196</v>
      </c>
      <c r="C38" s="3" t="s">
        <v>197</v>
      </c>
      <c r="D38" s="3" t="s">
        <v>198</v>
      </c>
      <c r="E38" s="3" t="s">
        <v>173</v>
      </c>
      <c r="F38" s="3" t="s">
        <v>174</v>
      </c>
      <c r="G38" s="3" t="s">
        <v>54</v>
      </c>
      <c r="H38" s="4">
        <v>3</v>
      </c>
      <c r="I38" s="5">
        <v>199.99</v>
      </c>
      <c r="J38" s="3" t="s">
        <v>29</v>
      </c>
      <c r="K38" s="3" t="s">
        <v>47</v>
      </c>
      <c r="L38" s="3" t="s">
        <v>30</v>
      </c>
      <c r="M38" s="3" t="s">
        <v>199</v>
      </c>
      <c r="N38" s="5">
        <v>599.97</v>
      </c>
    </row>
    <row r="39" spans="1:14" ht="15" customHeight="1" x14ac:dyDescent="0.3">
      <c r="A39" s="6" t="s">
        <v>200</v>
      </c>
      <c r="B39" s="6" t="s">
        <v>201</v>
      </c>
      <c r="C39" s="6" t="s">
        <v>202</v>
      </c>
      <c r="D39" s="6" t="s">
        <v>203</v>
      </c>
      <c r="E39" s="6" t="s">
        <v>102</v>
      </c>
      <c r="F39" s="6" t="s">
        <v>103</v>
      </c>
      <c r="G39" s="6" t="s">
        <v>20</v>
      </c>
      <c r="H39" s="7">
        <v>5</v>
      </c>
      <c r="I39" s="8">
        <v>699.99</v>
      </c>
      <c r="J39" s="6" t="s">
        <v>39</v>
      </c>
      <c r="K39" s="6" t="s">
        <v>60</v>
      </c>
      <c r="L39" s="6" t="s">
        <v>41</v>
      </c>
      <c r="M39" s="6" t="s">
        <v>204</v>
      </c>
      <c r="N39" s="8">
        <v>3499.95</v>
      </c>
    </row>
    <row r="40" spans="1:14" ht="15" customHeight="1" x14ac:dyDescent="0.3">
      <c r="A40" s="3" t="s">
        <v>205</v>
      </c>
      <c r="B40" s="3" t="s">
        <v>206</v>
      </c>
      <c r="C40" s="3" t="s">
        <v>207</v>
      </c>
      <c r="D40" s="3" t="s">
        <v>208</v>
      </c>
      <c r="E40" s="3" t="s">
        <v>159</v>
      </c>
      <c r="F40" s="3" t="s">
        <v>160</v>
      </c>
      <c r="G40" s="3" t="s">
        <v>20</v>
      </c>
      <c r="H40" s="4">
        <v>3</v>
      </c>
      <c r="I40" s="5">
        <v>89.99</v>
      </c>
      <c r="J40" s="3" t="s">
        <v>39</v>
      </c>
      <c r="K40" s="3" t="s">
        <v>22</v>
      </c>
      <c r="L40" s="3" t="s">
        <v>30</v>
      </c>
      <c r="M40" s="3" t="s">
        <v>209</v>
      </c>
      <c r="N40" s="5">
        <v>269.97000000000003</v>
      </c>
    </row>
    <row r="41" spans="1:14" ht="15" customHeight="1" x14ac:dyDescent="0.3">
      <c r="A41" s="6" t="s">
        <v>210</v>
      </c>
      <c r="B41" s="6" t="s">
        <v>211</v>
      </c>
      <c r="C41" s="6" t="s">
        <v>212</v>
      </c>
      <c r="D41" s="6" t="s">
        <v>213</v>
      </c>
      <c r="E41" s="6" t="s">
        <v>155</v>
      </c>
      <c r="F41" s="6" t="s">
        <v>156</v>
      </c>
      <c r="G41" s="6" t="s">
        <v>38</v>
      </c>
      <c r="H41" s="7">
        <v>1</v>
      </c>
      <c r="I41" s="8">
        <v>79.989999999999995</v>
      </c>
      <c r="J41" s="6" t="s">
        <v>21</v>
      </c>
      <c r="K41" s="6" t="s">
        <v>47</v>
      </c>
      <c r="L41" s="6" t="s">
        <v>41</v>
      </c>
      <c r="M41" s="6" t="s">
        <v>214</v>
      </c>
      <c r="N41" s="8">
        <v>79.989999999999995</v>
      </c>
    </row>
    <row r="42" spans="1:14" ht="15" customHeight="1" x14ac:dyDescent="0.3">
      <c r="A42" s="3" t="s">
        <v>215</v>
      </c>
      <c r="B42" s="3" t="s">
        <v>216</v>
      </c>
      <c r="C42" s="3" t="s">
        <v>217</v>
      </c>
      <c r="D42" s="3" t="s">
        <v>218</v>
      </c>
      <c r="E42" s="3" t="s">
        <v>36</v>
      </c>
      <c r="F42" s="3" t="s">
        <v>37</v>
      </c>
      <c r="G42" s="3" t="s">
        <v>38</v>
      </c>
      <c r="H42" s="4">
        <v>2</v>
      </c>
      <c r="I42" s="5">
        <v>59.99</v>
      </c>
      <c r="J42" s="3" t="s">
        <v>21</v>
      </c>
      <c r="K42" s="3" t="s">
        <v>60</v>
      </c>
      <c r="L42" s="3" t="s">
        <v>23</v>
      </c>
      <c r="M42" s="3" t="s">
        <v>219</v>
      </c>
      <c r="N42" s="5">
        <v>119.98</v>
      </c>
    </row>
    <row r="43" spans="1:14" ht="15" customHeight="1" x14ac:dyDescent="0.3">
      <c r="A43" s="6" t="s">
        <v>220</v>
      </c>
      <c r="B43" s="6" t="s">
        <v>216</v>
      </c>
      <c r="C43" s="6" t="s">
        <v>67</v>
      </c>
      <c r="D43" s="6" t="s">
        <v>68</v>
      </c>
      <c r="E43" s="6" t="s">
        <v>159</v>
      </c>
      <c r="F43" s="6" t="s">
        <v>160</v>
      </c>
      <c r="G43" s="6" t="s">
        <v>20</v>
      </c>
      <c r="H43" s="7">
        <v>1</v>
      </c>
      <c r="I43" s="8">
        <v>89.99</v>
      </c>
      <c r="J43" s="6" t="s">
        <v>21</v>
      </c>
      <c r="K43" s="6" t="s">
        <v>47</v>
      </c>
      <c r="L43" s="6" t="s">
        <v>23</v>
      </c>
      <c r="M43" s="6" t="s">
        <v>221</v>
      </c>
      <c r="N43" s="8">
        <v>89.99</v>
      </c>
    </row>
    <row r="44" spans="1:14" ht="15" customHeight="1" x14ac:dyDescent="0.3">
      <c r="A44" s="3" t="s">
        <v>222</v>
      </c>
      <c r="B44" s="3" t="s">
        <v>223</v>
      </c>
      <c r="C44" s="3" t="s">
        <v>224</v>
      </c>
      <c r="D44" s="3" t="s">
        <v>225</v>
      </c>
      <c r="E44" s="3" t="s">
        <v>159</v>
      </c>
      <c r="F44" s="3" t="s">
        <v>160</v>
      </c>
      <c r="G44" s="3" t="s">
        <v>20</v>
      </c>
      <c r="H44" s="4">
        <v>5</v>
      </c>
      <c r="I44" s="5">
        <v>89.99</v>
      </c>
      <c r="J44" s="3" t="s">
        <v>29</v>
      </c>
      <c r="K44" s="3" t="s">
        <v>77</v>
      </c>
      <c r="L44" s="3" t="s">
        <v>41</v>
      </c>
      <c r="M44" s="3" t="s">
        <v>226</v>
      </c>
      <c r="N44" s="5">
        <v>449.95</v>
      </c>
    </row>
    <row r="45" spans="1:14" ht="15" customHeight="1" x14ac:dyDescent="0.3">
      <c r="A45" s="6" t="s">
        <v>227</v>
      </c>
      <c r="B45" s="6" t="s">
        <v>228</v>
      </c>
      <c r="C45" s="6" t="s">
        <v>27</v>
      </c>
      <c r="D45" s="6" t="s">
        <v>28</v>
      </c>
      <c r="E45" s="6" t="s">
        <v>18</v>
      </c>
      <c r="F45" s="6" t="s">
        <v>19</v>
      </c>
      <c r="G45" s="6" t="s">
        <v>20</v>
      </c>
      <c r="H45" s="7">
        <v>5</v>
      </c>
      <c r="I45" s="8">
        <v>249.99</v>
      </c>
      <c r="J45" s="6" t="s">
        <v>29</v>
      </c>
      <c r="K45" s="6" t="s">
        <v>77</v>
      </c>
      <c r="L45" s="6" t="s">
        <v>41</v>
      </c>
      <c r="M45" s="6" t="s">
        <v>229</v>
      </c>
      <c r="N45" s="8">
        <v>1249.95</v>
      </c>
    </row>
    <row r="46" spans="1:14" ht="15" customHeight="1" x14ac:dyDescent="0.3">
      <c r="A46" s="3" t="s">
        <v>230</v>
      </c>
      <c r="B46" s="3" t="s">
        <v>228</v>
      </c>
      <c r="C46" s="3" t="s">
        <v>231</v>
      </c>
      <c r="D46" s="3" t="s">
        <v>232</v>
      </c>
      <c r="E46" s="3" t="s">
        <v>159</v>
      </c>
      <c r="F46" s="3" t="s">
        <v>160</v>
      </c>
      <c r="G46" s="3" t="s">
        <v>20</v>
      </c>
      <c r="H46" s="4">
        <v>1</v>
      </c>
      <c r="I46" s="5">
        <v>89.99</v>
      </c>
      <c r="J46" s="3" t="s">
        <v>29</v>
      </c>
      <c r="K46" s="3" t="s">
        <v>40</v>
      </c>
      <c r="L46" s="3" t="s">
        <v>41</v>
      </c>
      <c r="M46" s="3" t="s">
        <v>233</v>
      </c>
      <c r="N46" s="5">
        <v>89.99</v>
      </c>
    </row>
    <row r="47" spans="1:14" ht="15" customHeight="1" x14ac:dyDescent="0.3">
      <c r="A47" s="6" t="s">
        <v>234</v>
      </c>
      <c r="B47" s="6" t="s">
        <v>235</v>
      </c>
      <c r="C47" s="6" t="s">
        <v>50</v>
      </c>
      <c r="D47" s="6" t="s">
        <v>51</v>
      </c>
      <c r="E47" s="6" t="s">
        <v>52</v>
      </c>
      <c r="F47" s="6" t="s">
        <v>53</v>
      </c>
      <c r="G47" s="6" t="s">
        <v>54</v>
      </c>
      <c r="H47" s="7">
        <v>2</v>
      </c>
      <c r="I47" s="8">
        <v>149.99</v>
      </c>
      <c r="J47" s="6" t="s">
        <v>21</v>
      </c>
      <c r="K47" s="6" t="s">
        <v>77</v>
      </c>
      <c r="L47" s="6" t="s">
        <v>30</v>
      </c>
      <c r="M47" s="6" t="s">
        <v>236</v>
      </c>
      <c r="N47" s="8">
        <v>299.98</v>
      </c>
    </row>
    <row r="48" spans="1:14" ht="15" customHeight="1" x14ac:dyDescent="0.3">
      <c r="A48" s="3" t="s">
        <v>237</v>
      </c>
      <c r="B48" s="3" t="s">
        <v>238</v>
      </c>
      <c r="C48" s="3" t="s">
        <v>239</v>
      </c>
      <c r="D48" s="3" t="s">
        <v>240</v>
      </c>
      <c r="E48" s="3" t="s">
        <v>36</v>
      </c>
      <c r="F48" s="3" t="s">
        <v>37</v>
      </c>
      <c r="G48" s="3" t="s">
        <v>38</v>
      </c>
      <c r="H48" s="4">
        <v>4</v>
      </c>
      <c r="I48" s="5">
        <v>59.99</v>
      </c>
      <c r="J48" s="3" t="s">
        <v>21</v>
      </c>
      <c r="K48" s="3" t="s">
        <v>77</v>
      </c>
      <c r="L48" s="3" t="s">
        <v>41</v>
      </c>
      <c r="M48" s="3" t="s">
        <v>241</v>
      </c>
      <c r="N48" s="5">
        <v>239.96</v>
      </c>
    </row>
    <row r="49" spans="1:14" ht="15" customHeight="1" x14ac:dyDescent="0.3">
      <c r="A49" s="6" t="s">
        <v>242</v>
      </c>
      <c r="B49" s="6" t="s">
        <v>243</v>
      </c>
      <c r="C49" s="6" t="s">
        <v>178</v>
      </c>
      <c r="D49" s="6" t="s">
        <v>179</v>
      </c>
      <c r="E49" s="6" t="s">
        <v>159</v>
      </c>
      <c r="F49" s="6" t="s">
        <v>160</v>
      </c>
      <c r="G49" s="6" t="s">
        <v>20</v>
      </c>
      <c r="H49" s="7">
        <v>5</v>
      </c>
      <c r="I49" s="8">
        <v>89.99</v>
      </c>
      <c r="J49" s="6" t="s">
        <v>21</v>
      </c>
      <c r="K49" s="6" t="s">
        <v>22</v>
      </c>
      <c r="L49" s="6" t="s">
        <v>30</v>
      </c>
      <c r="M49" s="6" t="s">
        <v>244</v>
      </c>
      <c r="N49" s="8">
        <v>449.95</v>
      </c>
    </row>
    <row r="50" spans="1:14" ht="15" customHeight="1" x14ac:dyDescent="0.3">
      <c r="A50" s="3" t="s">
        <v>245</v>
      </c>
      <c r="B50" s="3" t="s">
        <v>246</v>
      </c>
      <c r="C50" s="3" t="s">
        <v>131</v>
      </c>
      <c r="D50" s="3" t="s">
        <v>132</v>
      </c>
      <c r="E50" s="3" t="s">
        <v>159</v>
      </c>
      <c r="F50" s="3" t="s">
        <v>160</v>
      </c>
      <c r="G50" s="3" t="s">
        <v>20</v>
      </c>
      <c r="H50" s="4">
        <v>2</v>
      </c>
      <c r="I50" s="5">
        <v>89.99</v>
      </c>
      <c r="J50" s="3" t="s">
        <v>29</v>
      </c>
      <c r="K50" s="3" t="s">
        <v>40</v>
      </c>
      <c r="L50" s="3" t="s">
        <v>30</v>
      </c>
      <c r="M50" s="3" t="s">
        <v>247</v>
      </c>
      <c r="N50" s="5">
        <v>179.98</v>
      </c>
    </row>
    <row r="51" spans="1:14" ht="15" customHeight="1" x14ac:dyDescent="0.3">
      <c r="A51" s="6" t="s">
        <v>248</v>
      </c>
      <c r="B51" s="6" t="s">
        <v>246</v>
      </c>
      <c r="C51" s="6" t="s">
        <v>16</v>
      </c>
      <c r="D51" s="6" t="s">
        <v>17</v>
      </c>
      <c r="E51" s="6" t="s">
        <v>75</v>
      </c>
      <c r="F51" s="6" t="s">
        <v>76</v>
      </c>
      <c r="G51" s="6" t="s">
        <v>20</v>
      </c>
      <c r="H51" s="7">
        <v>5</v>
      </c>
      <c r="I51" s="8">
        <v>899.99</v>
      </c>
      <c r="J51" s="6" t="s">
        <v>29</v>
      </c>
      <c r="K51" s="6" t="s">
        <v>40</v>
      </c>
      <c r="L51" s="6" t="s">
        <v>41</v>
      </c>
      <c r="M51" s="6" t="s">
        <v>249</v>
      </c>
      <c r="N51" s="8">
        <v>4499.95</v>
      </c>
    </row>
    <row r="52" spans="1:14" ht="15" customHeight="1" x14ac:dyDescent="0.3">
      <c r="A52" s="3" t="s">
        <v>250</v>
      </c>
      <c r="B52" s="3" t="s">
        <v>246</v>
      </c>
      <c r="C52" s="3" t="s">
        <v>169</v>
      </c>
      <c r="D52" s="3" t="s">
        <v>170</v>
      </c>
      <c r="E52" s="3" t="s">
        <v>75</v>
      </c>
      <c r="F52" s="3" t="s">
        <v>76</v>
      </c>
      <c r="G52" s="3" t="s">
        <v>20</v>
      </c>
      <c r="H52" s="4">
        <v>5</v>
      </c>
      <c r="I52" s="5">
        <v>899.99</v>
      </c>
      <c r="J52" s="3" t="s">
        <v>39</v>
      </c>
      <c r="K52" s="3" t="s">
        <v>77</v>
      </c>
      <c r="L52" s="3" t="s">
        <v>30</v>
      </c>
      <c r="M52" s="3" t="s">
        <v>251</v>
      </c>
      <c r="N52" s="5">
        <v>4499.95</v>
      </c>
    </row>
    <row r="53" spans="1:14" ht="15" customHeight="1" x14ac:dyDescent="0.3">
      <c r="A53" s="6" t="s">
        <v>252</v>
      </c>
      <c r="B53" s="6" t="s">
        <v>253</v>
      </c>
      <c r="C53" s="6" t="s">
        <v>231</v>
      </c>
      <c r="D53" s="6" t="s">
        <v>232</v>
      </c>
      <c r="E53" s="6" t="s">
        <v>36</v>
      </c>
      <c r="F53" s="6" t="s">
        <v>37</v>
      </c>
      <c r="G53" s="6" t="s">
        <v>38</v>
      </c>
      <c r="H53" s="7">
        <v>1</v>
      </c>
      <c r="I53" s="8">
        <v>59.99</v>
      </c>
      <c r="J53" s="6" t="s">
        <v>69</v>
      </c>
      <c r="K53" s="6" t="s">
        <v>60</v>
      </c>
      <c r="L53" s="6" t="s">
        <v>30</v>
      </c>
      <c r="M53" s="6" t="s">
        <v>254</v>
      </c>
      <c r="N53" s="8">
        <v>59.99</v>
      </c>
    </row>
    <row r="54" spans="1:14" ht="15" customHeight="1" x14ac:dyDescent="0.3">
      <c r="A54" s="3" t="s">
        <v>255</v>
      </c>
      <c r="B54" s="3" t="s">
        <v>253</v>
      </c>
      <c r="C54" s="3" t="s">
        <v>202</v>
      </c>
      <c r="D54" s="3" t="s">
        <v>203</v>
      </c>
      <c r="E54" s="3" t="s">
        <v>141</v>
      </c>
      <c r="F54" s="3" t="s">
        <v>142</v>
      </c>
      <c r="G54" s="3" t="s">
        <v>54</v>
      </c>
      <c r="H54" s="4">
        <v>2</v>
      </c>
      <c r="I54" s="5">
        <v>299.99</v>
      </c>
      <c r="J54" s="3" t="s">
        <v>69</v>
      </c>
      <c r="K54" s="3" t="s">
        <v>77</v>
      </c>
      <c r="L54" s="3" t="s">
        <v>41</v>
      </c>
      <c r="M54" s="3" t="s">
        <v>256</v>
      </c>
      <c r="N54" s="5">
        <v>599.98</v>
      </c>
    </row>
    <row r="55" spans="1:14" ht="15" customHeight="1" x14ac:dyDescent="0.3">
      <c r="A55" s="6" t="s">
        <v>257</v>
      </c>
      <c r="B55" s="6" t="s">
        <v>258</v>
      </c>
      <c r="C55" s="6" t="s">
        <v>259</v>
      </c>
      <c r="D55" s="6" t="s">
        <v>260</v>
      </c>
      <c r="E55" s="6" t="s">
        <v>159</v>
      </c>
      <c r="F55" s="6" t="s">
        <v>160</v>
      </c>
      <c r="G55" s="6" t="s">
        <v>20</v>
      </c>
      <c r="H55" s="7">
        <v>4</v>
      </c>
      <c r="I55" s="8">
        <v>89.99</v>
      </c>
      <c r="J55" s="6" t="s">
        <v>69</v>
      </c>
      <c r="K55" s="6" t="s">
        <v>40</v>
      </c>
      <c r="L55" s="6" t="s">
        <v>23</v>
      </c>
      <c r="M55" s="6" t="s">
        <v>261</v>
      </c>
      <c r="N55" s="8">
        <v>359.96</v>
      </c>
    </row>
    <row r="56" spans="1:14" ht="15" customHeight="1" x14ac:dyDescent="0.3">
      <c r="A56" s="3" t="s">
        <v>262</v>
      </c>
      <c r="B56" s="3" t="s">
        <v>263</v>
      </c>
      <c r="C56" s="3" t="s">
        <v>34</v>
      </c>
      <c r="D56" s="3" t="s">
        <v>35</v>
      </c>
      <c r="E56" s="3" t="s">
        <v>155</v>
      </c>
      <c r="F56" s="3" t="s">
        <v>156</v>
      </c>
      <c r="G56" s="3" t="s">
        <v>38</v>
      </c>
      <c r="H56" s="4">
        <v>1</v>
      </c>
      <c r="I56" s="5">
        <v>79.989999999999995</v>
      </c>
      <c r="J56" s="3" t="s">
        <v>39</v>
      </c>
      <c r="K56" s="3" t="s">
        <v>22</v>
      </c>
      <c r="L56" s="3" t="s">
        <v>30</v>
      </c>
      <c r="M56" s="3" t="s">
        <v>264</v>
      </c>
      <c r="N56" s="5">
        <v>79.989999999999995</v>
      </c>
    </row>
    <row r="57" spans="1:14" ht="15" customHeight="1" x14ac:dyDescent="0.3">
      <c r="A57" s="6" t="s">
        <v>265</v>
      </c>
      <c r="B57" s="6" t="s">
        <v>263</v>
      </c>
      <c r="C57" s="6" t="s">
        <v>73</v>
      </c>
      <c r="D57" s="6" t="s">
        <v>74</v>
      </c>
      <c r="E57" s="6" t="s">
        <v>159</v>
      </c>
      <c r="F57" s="6" t="s">
        <v>160</v>
      </c>
      <c r="G57" s="6" t="s">
        <v>20</v>
      </c>
      <c r="H57" s="7">
        <v>2</v>
      </c>
      <c r="I57" s="8">
        <v>89.99</v>
      </c>
      <c r="J57" s="6" t="s">
        <v>21</v>
      </c>
      <c r="K57" s="6" t="s">
        <v>60</v>
      </c>
      <c r="L57" s="6" t="s">
        <v>23</v>
      </c>
      <c r="M57" s="6" t="s">
        <v>266</v>
      </c>
      <c r="N57" s="8">
        <v>179.98</v>
      </c>
    </row>
    <row r="58" spans="1:14" ht="15" customHeight="1" x14ac:dyDescent="0.3">
      <c r="A58" s="3" t="s">
        <v>267</v>
      </c>
      <c r="B58" s="3" t="s">
        <v>268</v>
      </c>
      <c r="C58" s="3" t="s">
        <v>45</v>
      </c>
      <c r="D58" s="3" t="s">
        <v>46</v>
      </c>
      <c r="E58" s="3" t="s">
        <v>102</v>
      </c>
      <c r="F58" s="3" t="s">
        <v>103</v>
      </c>
      <c r="G58" s="3" t="s">
        <v>20</v>
      </c>
      <c r="H58" s="4">
        <v>3</v>
      </c>
      <c r="I58" s="5">
        <v>699.99</v>
      </c>
      <c r="J58" s="3" t="s">
        <v>29</v>
      </c>
      <c r="K58" s="3" t="s">
        <v>77</v>
      </c>
      <c r="L58" s="3" t="s">
        <v>30</v>
      </c>
      <c r="M58" s="3" t="s">
        <v>269</v>
      </c>
      <c r="N58" s="5">
        <v>2099.9699999999998</v>
      </c>
    </row>
    <row r="59" spans="1:14" ht="15" customHeight="1" x14ac:dyDescent="0.3">
      <c r="A59" s="6" t="s">
        <v>270</v>
      </c>
      <c r="B59" s="6" t="s">
        <v>268</v>
      </c>
      <c r="C59" s="6" t="s">
        <v>131</v>
      </c>
      <c r="D59" s="6" t="s">
        <v>132</v>
      </c>
      <c r="E59" s="6" t="s">
        <v>75</v>
      </c>
      <c r="F59" s="6" t="s">
        <v>76</v>
      </c>
      <c r="G59" s="6" t="s">
        <v>20</v>
      </c>
      <c r="H59" s="7">
        <v>4</v>
      </c>
      <c r="I59" s="8">
        <v>899.99</v>
      </c>
      <c r="J59" s="6" t="s">
        <v>29</v>
      </c>
      <c r="K59" s="6" t="s">
        <v>77</v>
      </c>
      <c r="L59" s="6" t="s">
        <v>30</v>
      </c>
      <c r="M59" s="6" t="s">
        <v>271</v>
      </c>
      <c r="N59" s="8">
        <v>3599.96</v>
      </c>
    </row>
    <row r="60" spans="1:14" ht="15" customHeight="1" x14ac:dyDescent="0.3">
      <c r="A60" s="3" t="s">
        <v>272</v>
      </c>
      <c r="B60" s="3" t="s">
        <v>273</v>
      </c>
      <c r="C60" s="3" t="s">
        <v>164</v>
      </c>
      <c r="D60" s="3" t="s">
        <v>165</v>
      </c>
      <c r="E60" s="3" t="s">
        <v>52</v>
      </c>
      <c r="F60" s="3" t="s">
        <v>53</v>
      </c>
      <c r="G60" s="3" t="s">
        <v>54</v>
      </c>
      <c r="H60" s="4">
        <v>1</v>
      </c>
      <c r="I60" s="5">
        <v>149.99</v>
      </c>
      <c r="J60" s="3" t="s">
        <v>39</v>
      </c>
      <c r="K60" s="3" t="s">
        <v>77</v>
      </c>
      <c r="L60" s="3" t="s">
        <v>23</v>
      </c>
      <c r="M60" s="3" t="s">
        <v>274</v>
      </c>
      <c r="N60" s="5">
        <v>149.99</v>
      </c>
    </row>
    <row r="61" spans="1:14" ht="15" customHeight="1" x14ac:dyDescent="0.3">
      <c r="A61" s="6" t="s">
        <v>275</v>
      </c>
      <c r="B61" s="6" t="s">
        <v>276</v>
      </c>
      <c r="C61" s="6" t="s">
        <v>183</v>
      </c>
      <c r="D61" s="6" t="s">
        <v>184</v>
      </c>
      <c r="E61" s="6" t="s">
        <v>159</v>
      </c>
      <c r="F61" s="6" t="s">
        <v>160</v>
      </c>
      <c r="G61" s="6" t="s">
        <v>20</v>
      </c>
      <c r="H61" s="7">
        <v>2</v>
      </c>
      <c r="I61" s="8">
        <v>89.99</v>
      </c>
      <c r="J61" s="6" t="s">
        <v>39</v>
      </c>
      <c r="K61" s="6" t="s">
        <v>22</v>
      </c>
      <c r="L61" s="6" t="s">
        <v>30</v>
      </c>
      <c r="M61" s="6" t="s">
        <v>277</v>
      </c>
      <c r="N61" s="8">
        <v>179.98</v>
      </c>
    </row>
    <row r="62" spans="1:14" ht="15" customHeight="1" x14ac:dyDescent="0.3">
      <c r="A62" s="3" t="s">
        <v>278</v>
      </c>
      <c r="B62" s="3" t="s">
        <v>279</v>
      </c>
      <c r="C62" s="3" t="s">
        <v>67</v>
      </c>
      <c r="D62" s="3" t="s">
        <v>68</v>
      </c>
      <c r="E62" s="3" t="s">
        <v>159</v>
      </c>
      <c r="F62" s="3" t="s">
        <v>160</v>
      </c>
      <c r="G62" s="3" t="s">
        <v>20</v>
      </c>
      <c r="H62" s="4">
        <v>1</v>
      </c>
      <c r="I62" s="5">
        <v>89.99</v>
      </c>
      <c r="J62" s="3" t="s">
        <v>39</v>
      </c>
      <c r="K62" s="3" t="s">
        <v>60</v>
      </c>
      <c r="L62" s="3" t="s">
        <v>41</v>
      </c>
      <c r="M62" s="3" t="s">
        <v>280</v>
      </c>
      <c r="N62" s="5">
        <v>89.99</v>
      </c>
    </row>
    <row r="63" spans="1:14" ht="15" customHeight="1" x14ac:dyDescent="0.3">
      <c r="A63" s="6" t="s">
        <v>281</v>
      </c>
      <c r="B63" s="6" t="s">
        <v>282</v>
      </c>
      <c r="C63" s="6" t="s">
        <v>85</v>
      </c>
      <c r="D63" s="6" t="s">
        <v>86</v>
      </c>
      <c r="E63" s="6" t="s">
        <v>159</v>
      </c>
      <c r="F63" s="6" t="s">
        <v>160</v>
      </c>
      <c r="G63" s="6" t="s">
        <v>20</v>
      </c>
      <c r="H63" s="7">
        <v>1</v>
      </c>
      <c r="I63" s="8">
        <v>89.99</v>
      </c>
      <c r="J63" s="6" t="s">
        <v>21</v>
      </c>
      <c r="K63" s="6" t="s">
        <v>40</v>
      </c>
      <c r="L63" s="6" t="s">
        <v>41</v>
      </c>
      <c r="M63" s="6" t="s">
        <v>283</v>
      </c>
      <c r="N63" s="8">
        <v>89.99</v>
      </c>
    </row>
    <row r="64" spans="1:14" ht="15" customHeight="1" x14ac:dyDescent="0.3">
      <c r="A64" s="3" t="s">
        <v>284</v>
      </c>
      <c r="B64" s="3" t="s">
        <v>282</v>
      </c>
      <c r="C64" s="3" t="s">
        <v>285</v>
      </c>
      <c r="D64" s="3" t="s">
        <v>286</v>
      </c>
      <c r="E64" s="3" t="s">
        <v>155</v>
      </c>
      <c r="F64" s="3" t="s">
        <v>156</v>
      </c>
      <c r="G64" s="3" t="s">
        <v>38</v>
      </c>
      <c r="H64" s="4">
        <v>5</v>
      </c>
      <c r="I64" s="5">
        <v>79.989999999999995</v>
      </c>
      <c r="J64" s="3" t="s">
        <v>69</v>
      </c>
      <c r="K64" s="3" t="s">
        <v>22</v>
      </c>
      <c r="L64" s="3" t="s">
        <v>23</v>
      </c>
      <c r="M64" s="3" t="s">
        <v>287</v>
      </c>
      <c r="N64" s="5">
        <v>399.95</v>
      </c>
    </row>
    <row r="65" spans="1:14" ht="15" customHeight="1" x14ac:dyDescent="0.3">
      <c r="A65" s="6" t="s">
        <v>288</v>
      </c>
      <c r="B65" s="6" t="s">
        <v>289</v>
      </c>
      <c r="C65" s="6" t="s">
        <v>290</v>
      </c>
      <c r="D65" s="6" t="s">
        <v>291</v>
      </c>
      <c r="E65" s="6" t="s">
        <v>52</v>
      </c>
      <c r="F65" s="6" t="s">
        <v>53</v>
      </c>
      <c r="G65" s="6" t="s">
        <v>54</v>
      </c>
      <c r="H65" s="7">
        <v>1</v>
      </c>
      <c r="I65" s="8">
        <v>149.99</v>
      </c>
      <c r="J65" s="6" t="s">
        <v>39</v>
      </c>
      <c r="K65" s="6" t="s">
        <v>47</v>
      </c>
      <c r="L65" s="6" t="s">
        <v>23</v>
      </c>
      <c r="M65" s="6" t="s">
        <v>292</v>
      </c>
      <c r="N65" s="8">
        <v>149.99</v>
      </c>
    </row>
    <row r="66" spans="1:14" ht="15" customHeight="1" x14ac:dyDescent="0.3">
      <c r="A66" s="3" t="s">
        <v>293</v>
      </c>
      <c r="B66" s="3" t="s">
        <v>289</v>
      </c>
      <c r="C66" s="3" t="s">
        <v>50</v>
      </c>
      <c r="D66" s="3" t="s">
        <v>51</v>
      </c>
      <c r="E66" s="3" t="s">
        <v>102</v>
      </c>
      <c r="F66" s="3" t="s">
        <v>103</v>
      </c>
      <c r="G66" s="3" t="s">
        <v>20</v>
      </c>
      <c r="H66" s="4">
        <v>2</v>
      </c>
      <c r="I66" s="5">
        <v>699.99</v>
      </c>
      <c r="J66" s="3" t="s">
        <v>39</v>
      </c>
      <c r="K66" s="3" t="s">
        <v>77</v>
      </c>
      <c r="L66" s="3" t="s">
        <v>30</v>
      </c>
      <c r="M66" s="3" t="s">
        <v>294</v>
      </c>
      <c r="N66" s="5">
        <v>1399.98</v>
      </c>
    </row>
    <row r="67" spans="1:14" ht="15" customHeight="1" x14ac:dyDescent="0.3">
      <c r="A67" s="6" t="s">
        <v>295</v>
      </c>
      <c r="B67" s="6" t="s">
        <v>289</v>
      </c>
      <c r="C67" s="6" t="s">
        <v>126</v>
      </c>
      <c r="D67" s="6" t="s">
        <v>127</v>
      </c>
      <c r="E67" s="6" t="s">
        <v>159</v>
      </c>
      <c r="F67" s="6" t="s">
        <v>160</v>
      </c>
      <c r="G67" s="6" t="s">
        <v>20</v>
      </c>
      <c r="H67" s="7">
        <v>5</v>
      </c>
      <c r="I67" s="8">
        <v>89.99</v>
      </c>
      <c r="J67" s="6" t="s">
        <v>69</v>
      </c>
      <c r="K67" s="6" t="s">
        <v>47</v>
      </c>
      <c r="L67" s="6" t="s">
        <v>30</v>
      </c>
      <c r="M67" s="6" t="s">
        <v>296</v>
      </c>
      <c r="N67" s="8">
        <v>449.95</v>
      </c>
    </row>
    <row r="68" spans="1:14" ht="15" customHeight="1" x14ac:dyDescent="0.3">
      <c r="A68" s="3" t="s">
        <v>297</v>
      </c>
      <c r="B68" s="3" t="s">
        <v>298</v>
      </c>
      <c r="C68" s="3" t="s">
        <v>259</v>
      </c>
      <c r="D68" s="3" t="s">
        <v>260</v>
      </c>
      <c r="E68" s="3" t="s">
        <v>36</v>
      </c>
      <c r="F68" s="3" t="s">
        <v>37</v>
      </c>
      <c r="G68" s="3" t="s">
        <v>38</v>
      </c>
      <c r="H68" s="4">
        <v>4</v>
      </c>
      <c r="I68" s="5">
        <v>59.99</v>
      </c>
      <c r="J68" s="3" t="s">
        <v>21</v>
      </c>
      <c r="K68" s="3" t="s">
        <v>40</v>
      </c>
      <c r="L68" s="3" t="s">
        <v>41</v>
      </c>
      <c r="M68" s="3" t="s">
        <v>299</v>
      </c>
      <c r="N68" s="5">
        <v>239.96</v>
      </c>
    </row>
    <row r="69" spans="1:14" ht="15" customHeight="1" x14ac:dyDescent="0.3">
      <c r="A69" s="6" t="s">
        <v>300</v>
      </c>
      <c r="B69" s="6" t="s">
        <v>301</v>
      </c>
      <c r="C69" s="6" t="s">
        <v>27</v>
      </c>
      <c r="D69" s="6" t="s">
        <v>28</v>
      </c>
      <c r="E69" s="6" t="s">
        <v>63</v>
      </c>
      <c r="F69" s="6" t="s">
        <v>64</v>
      </c>
      <c r="G69" s="6" t="s">
        <v>20</v>
      </c>
      <c r="H69" s="7">
        <v>1</v>
      </c>
      <c r="I69" s="8">
        <v>149.99</v>
      </c>
      <c r="J69" s="6" t="s">
        <v>21</v>
      </c>
      <c r="K69" s="6" t="s">
        <v>22</v>
      </c>
      <c r="L69" s="6" t="s">
        <v>41</v>
      </c>
      <c r="M69" s="6" t="s">
        <v>302</v>
      </c>
      <c r="N69" s="8">
        <v>149.99</v>
      </c>
    </row>
    <row r="70" spans="1:14" ht="15" customHeight="1" x14ac:dyDescent="0.3">
      <c r="A70" s="3" t="s">
        <v>303</v>
      </c>
      <c r="B70" s="3" t="s">
        <v>301</v>
      </c>
      <c r="C70" s="3" t="s">
        <v>304</v>
      </c>
      <c r="D70" s="3" t="s">
        <v>305</v>
      </c>
      <c r="E70" s="3" t="s">
        <v>141</v>
      </c>
      <c r="F70" s="3" t="s">
        <v>142</v>
      </c>
      <c r="G70" s="3" t="s">
        <v>54</v>
      </c>
      <c r="H70" s="4">
        <v>1</v>
      </c>
      <c r="I70" s="5">
        <v>299.99</v>
      </c>
      <c r="J70" s="3" t="s">
        <v>29</v>
      </c>
      <c r="K70" s="3" t="s">
        <v>47</v>
      </c>
      <c r="L70" s="3" t="s">
        <v>30</v>
      </c>
      <c r="M70" s="3" t="s">
        <v>306</v>
      </c>
      <c r="N70" s="5">
        <v>299.99</v>
      </c>
    </row>
    <row r="71" spans="1:14" ht="15" customHeight="1" x14ac:dyDescent="0.3">
      <c r="A71" s="6" t="s">
        <v>307</v>
      </c>
      <c r="B71" s="6" t="s">
        <v>308</v>
      </c>
      <c r="C71" s="6" t="s">
        <v>304</v>
      </c>
      <c r="D71" s="6" t="s">
        <v>305</v>
      </c>
      <c r="E71" s="6" t="s">
        <v>173</v>
      </c>
      <c r="F71" s="6" t="s">
        <v>174</v>
      </c>
      <c r="G71" s="6" t="s">
        <v>54</v>
      </c>
      <c r="H71" s="7">
        <v>2</v>
      </c>
      <c r="I71" s="8">
        <v>199.99</v>
      </c>
      <c r="J71" s="6" t="s">
        <v>21</v>
      </c>
      <c r="K71" s="6" t="s">
        <v>47</v>
      </c>
      <c r="L71" s="6" t="s">
        <v>23</v>
      </c>
      <c r="M71" s="6" t="s">
        <v>309</v>
      </c>
      <c r="N71" s="8">
        <v>399.98</v>
      </c>
    </row>
    <row r="72" spans="1:14" ht="15" customHeight="1" x14ac:dyDescent="0.3">
      <c r="A72" s="3" t="s">
        <v>310</v>
      </c>
      <c r="B72" s="3" t="s">
        <v>311</v>
      </c>
      <c r="C72" s="3" t="s">
        <v>312</v>
      </c>
      <c r="D72" s="3" t="s">
        <v>313</v>
      </c>
      <c r="E72" s="3" t="s">
        <v>36</v>
      </c>
      <c r="F72" s="3" t="s">
        <v>37</v>
      </c>
      <c r="G72" s="3" t="s">
        <v>38</v>
      </c>
      <c r="H72" s="4">
        <v>3</v>
      </c>
      <c r="I72" s="5">
        <v>59.99</v>
      </c>
      <c r="J72" s="3" t="s">
        <v>29</v>
      </c>
      <c r="K72" s="3" t="s">
        <v>60</v>
      </c>
      <c r="L72" s="3" t="s">
        <v>23</v>
      </c>
      <c r="M72" s="3" t="s">
        <v>314</v>
      </c>
      <c r="N72" s="5">
        <v>179.97</v>
      </c>
    </row>
    <row r="73" spans="1:14" ht="15" customHeight="1" x14ac:dyDescent="0.3">
      <c r="A73" s="6" t="s">
        <v>315</v>
      </c>
      <c r="B73" s="6" t="s">
        <v>311</v>
      </c>
      <c r="C73" s="6" t="s">
        <v>91</v>
      </c>
      <c r="D73" s="6" t="s">
        <v>92</v>
      </c>
      <c r="E73" s="6" t="s">
        <v>52</v>
      </c>
      <c r="F73" s="6" t="s">
        <v>53</v>
      </c>
      <c r="G73" s="6" t="s">
        <v>54</v>
      </c>
      <c r="H73" s="7">
        <v>3</v>
      </c>
      <c r="I73" s="8">
        <v>149.99</v>
      </c>
      <c r="J73" s="6" t="s">
        <v>21</v>
      </c>
      <c r="K73" s="6" t="s">
        <v>22</v>
      </c>
      <c r="L73" s="6" t="s">
        <v>30</v>
      </c>
      <c r="M73" s="6" t="s">
        <v>316</v>
      </c>
      <c r="N73" s="8">
        <v>449.97</v>
      </c>
    </row>
    <row r="74" spans="1:14" ht="15" customHeight="1" x14ac:dyDescent="0.3">
      <c r="A74" s="3" t="s">
        <v>317</v>
      </c>
      <c r="B74" s="3" t="s">
        <v>318</v>
      </c>
      <c r="C74" s="3" t="s">
        <v>81</v>
      </c>
      <c r="D74" s="3" t="s">
        <v>82</v>
      </c>
      <c r="E74" s="3" t="s">
        <v>173</v>
      </c>
      <c r="F74" s="3" t="s">
        <v>174</v>
      </c>
      <c r="G74" s="3" t="s">
        <v>54</v>
      </c>
      <c r="H74" s="4">
        <v>3</v>
      </c>
      <c r="I74" s="5">
        <v>199.99</v>
      </c>
      <c r="J74" s="3" t="s">
        <v>21</v>
      </c>
      <c r="K74" s="3" t="s">
        <v>47</v>
      </c>
      <c r="L74" s="3" t="s">
        <v>30</v>
      </c>
      <c r="M74" s="3" t="s">
        <v>319</v>
      </c>
      <c r="N74" s="5">
        <v>599.97</v>
      </c>
    </row>
    <row r="75" spans="1:14" ht="15" customHeight="1" x14ac:dyDescent="0.3">
      <c r="A75" s="6" t="s">
        <v>320</v>
      </c>
      <c r="B75" s="6" t="s">
        <v>321</v>
      </c>
      <c r="C75" s="6" t="s">
        <v>217</v>
      </c>
      <c r="D75" s="6" t="s">
        <v>218</v>
      </c>
      <c r="E75" s="6" t="s">
        <v>75</v>
      </c>
      <c r="F75" s="6" t="s">
        <v>76</v>
      </c>
      <c r="G75" s="6" t="s">
        <v>20</v>
      </c>
      <c r="H75" s="7">
        <v>1</v>
      </c>
      <c r="I75" s="8">
        <v>899.99</v>
      </c>
      <c r="J75" s="6" t="s">
        <v>21</v>
      </c>
      <c r="K75" s="6" t="s">
        <v>22</v>
      </c>
      <c r="L75" s="6" t="s">
        <v>41</v>
      </c>
      <c r="M75" s="6" t="s">
        <v>322</v>
      </c>
      <c r="N75" s="8">
        <v>899.99</v>
      </c>
    </row>
    <row r="76" spans="1:14" ht="15" customHeight="1" x14ac:dyDescent="0.3">
      <c r="A76" s="3" t="s">
        <v>323</v>
      </c>
      <c r="B76" s="3" t="s">
        <v>324</v>
      </c>
      <c r="C76" s="3" t="s">
        <v>27</v>
      </c>
      <c r="D76" s="3" t="s">
        <v>28</v>
      </c>
      <c r="E76" s="3" t="s">
        <v>75</v>
      </c>
      <c r="F76" s="3" t="s">
        <v>76</v>
      </c>
      <c r="G76" s="3" t="s">
        <v>20</v>
      </c>
      <c r="H76" s="4">
        <v>5</v>
      </c>
      <c r="I76" s="5">
        <v>899.99</v>
      </c>
      <c r="J76" s="3" t="s">
        <v>69</v>
      </c>
      <c r="K76" s="3" t="s">
        <v>40</v>
      </c>
      <c r="L76" s="3" t="s">
        <v>41</v>
      </c>
      <c r="M76" s="3" t="s">
        <v>325</v>
      </c>
      <c r="N76" s="5">
        <v>4499.95</v>
      </c>
    </row>
    <row r="77" spans="1:14" ht="15" customHeight="1" x14ac:dyDescent="0.3">
      <c r="A77" s="6" t="s">
        <v>326</v>
      </c>
      <c r="B77" s="6" t="s">
        <v>327</v>
      </c>
      <c r="C77" s="6" t="s">
        <v>285</v>
      </c>
      <c r="D77" s="6" t="s">
        <v>286</v>
      </c>
      <c r="E77" s="6" t="s">
        <v>36</v>
      </c>
      <c r="F77" s="6" t="s">
        <v>37</v>
      </c>
      <c r="G77" s="6" t="s">
        <v>38</v>
      </c>
      <c r="H77" s="7">
        <v>2</v>
      </c>
      <c r="I77" s="8">
        <v>59.99</v>
      </c>
      <c r="J77" s="6" t="s">
        <v>21</v>
      </c>
      <c r="K77" s="6" t="s">
        <v>47</v>
      </c>
      <c r="L77" s="6" t="s">
        <v>41</v>
      </c>
      <c r="M77" s="6" t="s">
        <v>328</v>
      </c>
      <c r="N77" s="8">
        <v>119.98</v>
      </c>
    </row>
    <row r="78" spans="1:14" ht="15" customHeight="1" x14ac:dyDescent="0.3">
      <c r="A78" s="3" t="s">
        <v>329</v>
      </c>
      <c r="B78" s="3" t="s">
        <v>327</v>
      </c>
      <c r="C78" s="3" t="s">
        <v>312</v>
      </c>
      <c r="D78" s="3" t="s">
        <v>313</v>
      </c>
      <c r="E78" s="3" t="s">
        <v>18</v>
      </c>
      <c r="F78" s="3" t="s">
        <v>19</v>
      </c>
      <c r="G78" s="3" t="s">
        <v>20</v>
      </c>
      <c r="H78" s="4">
        <v>4</v>
      </c>
      <c r="I78" s="5">
        <v>249.99</v>
      </c>
      <c r="J78" s="3" t="s">
        <v>69</v>
      </c>
      <c r="K78" s="3" t="s">
        <v>22</v>
      </c>
      <c r="L78" s="3" t="s">
        <v>41</v>
      </c>
      <c r="M78" s="3" t="s">
        <v>330</v>
      </c>
      <c r="N78" s="5">
        <v>999.96</v>
      </c>
    </row>
    <row r="79" spans="1:14" ht="15" customHeight="1" x14ac:dyDescent="0.3">
      <c r="A79" s="6" t="s">
        <v>331</v>
      </c>
      <c r="B79" s="6" t="s">
        <v>332</v>
      </c>
      <c r="C79" s="6" t="s">
        <v>126</v>
      </c>
      <c r="D79" s="6" t="s">
        <v>127</v>
      </c>
      <c r="E79" s="6" t="s">
        <v>18</v>
      </c>
      <c r="F79" s="6" t="s">
        <v>19</v>
      </c>
      <c r="G79" s="6" t="s">
        <v>20</v>
      </c>
      <c r="H79" s="7">
        <v>2</v>
      </c>
      <c r="I79" s="8">
        <v>249.99</v>
      </c>
      <c r="J79" s="6" t="s">
        <v>21</v>
      </c>
      <c r="K79" s="6" t="s">
        <v>47</v>
      </c>
      <c r="L79" s="6" t="s">
        <v>30</v>
      </c>
      <c r="M79" s="6" t="s">
        <v>333</v>
      </c>
      <c r="N79" s="8">
        <v>499.98</v>
      </c>
    </row>
    <row r="80" spans="1:14" ht="15" customHeight="1" x14ac:dyDescent="0.3">
      <c r="A80" s="3" t="s">
        <v>334</v>
      </c>
      <c r="B80" s="3" t="s">
        <v>332</v>
      </c>
      <c r="C80" s="3" t="s">
        <v>212</v>
      </c>
      <c r="D80" s="3" t="s">
        <v>213</v>
      </c>
      <c r="E80" s="3" t="s">
        <v>141</v>
      </c>
      <c r="F80" s="3" t="s">
        <v>142</v>
      </c>
      <c r="G80" s="3" t="s">
        <v>54</v>
      </c>
      <c r="H80" s="4">
        <v>1</v>
      </c>
      <c r="I80" s="5">
        <v>299.99</v>
      </c>
      <c r="J80" s="3" t="s">
        <v>21</v>
      </c>
      <c r="K80" s="3" t="s">
        <v>40</v>
      </c>
      <c r="L80" s="3" t="s">
        <v>23</v>
      </c>
      <c r="M80" s="3" t="s">
        <v>335</v>
      </c>
      <c r="N80" s="5">
        <v>299.99</v>
      </c>
    </row>
    <row r="81" spans="1:14" ht="15" customHeight="1" x14ac:dyDescent="0.3">
      <c r="A81" s="6" t="s">
        <v>336</v>
      </c>
      <c r="B81" s="6" t="s">
        <v>337</v>
      </c>
      <c r="C81" s="6" t="s">
        <v>111</v>
      </c>
      <c r="D81" s="6" t="s">
        <v>112</v>
      </c>
      <c r="E81" s="6" t="s">
        <v>159</v>
      </c>
      <c r="F81" s="6" t="s">
        <v>160</v>
      </c>
      <c r="G81" s="6" t="s">
        <v>20</v>
      </c>
      <c r="H81" s="7">
        <v>2</v>
      </c>
      <c r="I81" s="8">
        <v>89.99</v>
      </c>
      <c r="J81" s="6" t="s">
        <v>39</v>
      </c>
      <c r="K81" s="6" t="s">
        <v>40</v>
      </c>
      <c r="L81" s="6" t="s">
        <v>23</v>
      </c>
      <c r="M81" s="6" t="s">
        <v>338</v>
      </c>
      <c r="N81" s="8">
        <v>179.98</v>
      </c>
    </row>
    <row r="82" spans="1:14" ht="15" customHeight="1" x14ac:dyDescent="0.3">
      <c r="A82" s="3" t="s">
        <v>339</v>
      </c>
      <c r="B82" s="3" t="s">
        <v>337</v>
      </c>
      <c r="C82" s="3" t="s">
        <v>212</v>
      </c>
      <c r="D82" s="3" t="s">
        <v>213</v>
      </c>
      <c r="E82" s="3" t="s">
        <v>141</v>
      </c>
      <c r="F82" s="3" t="s">
        <v>142</v>
      </c>
      <c r="G82" s="3" t="s">
        <v>54</v>
      </c>
      <c r="H82" s="4">
        <v>3</v>
      </c>
      <c r="I82" s="5">
        <v>299.99</v>
      </c>
      <c r="J82" s="3" t="s">
        <v>21</v>
      </c>
      <c r="K82" s="3" t="s">
        <v>22</v>
      </c>
      <c r="L82" s="3" t="s">
        <v>23</v>
      </c>
      <c r="M82" s="3" t="s">
        <v>340</v>
      </c>
      <c r="N82" s="5">
        <v>899.97</v>
      </c>
    </row>
    <row r="83" spans="1:14" ht="15" customHeight="1" x14ac:dyDescent="0.3">
      <c r="A83" s="6" t="s">
        <v>341</v>
      </c>
      <c r="B83" s="6" t="s">
        <v>342</v>
      </c>
      <c r="C83" s="6" t="s">
        <v>111</v>
      </c>
      <c r="D83" s="6" t="s">
        <v>112</v>
      </c>
      <c r="E83" s="6" t="s">
        <v>102</v>
      </c>
      <c r="F83" s="6" t="s">
        <v>103</v>
      </c>
      <c r="G83" s="6" t="s">
        <v>20</v>
      </c>
      <c r="H83" s="7">
        <v>2</v>
      </c>
      <c r="I83" s="8">
        <v>699.99</v>
      </c>
      <c r="J83" s="6" t="s">
        <v>29</v>
      </c>
      <c r="K83" s="6" t="s">
        <v>47</v>
      </c>
      <c r="L83" s="6" t="s">
        <v>30</v>
      </c>
      <c r="M83" s="6" t="s">
        <v>343</v>
      </c>
      <c r="N83" s="8">
        <v>1399.98</v>
      </c>
    </row>
    <row r="84" spans="1:14" ht="15" customHeight="1" x14ac:dyDescent="0.3">
      <c r="A84" s="3" t="s">
        <v>344</v>
      </c>
      <c r="B84" s="3" t="s">
        <v>345</v>
      </c>
      <c r="C84" s="3" t="s">
        <v>164</v>
      </c>
      <c r="D84" s="3" t="s">
        <v>165</v>
      </c>
      <c r="E84" s="3" t="s">
        <v>75</v>
      </c>
      <c r="F84" s="3" t="s">
        <v>76</v>
      </c>
      <c r="G84" s="3" t="s">
        <v>20</v>
      </c>
      <c r="H84" s="4">
        <v>4</v>
      </c>
      <c r="I84" s="5">
        <v>899.99</v>
      </c>
      <c r="J84" s="3" t="s">
        <v>69</v>
      </c>
      <c r="K84" s="3" t="s">
        <v>40</v>
      </c>
      <c r="L84" s="3" t="s">
        <v>41</v>
      </c>
      <c r="M84" s="3" t="s">
        <v>346</v>
      </c>
      <c r="N84" s="5">
        <v>3599.96</v>
      </c>
    </row>
    <row r="85" spans="1:14" ht="15" customHeight="1" x14ac:dyDescent="0.3">
      <c r="A85" s="6" t="s">
        <v>347</v>
      </c>
      <c r="B85" s="6" t="s">
        <v>348</v>
      </c>
      <c r="C85" s="6" t="s">
        <v>349</v>
      </c>
      <c r="D85" s="6" t="s">
        <v>350</v>
      </c>
      <c r="E85" s="6" t="s">
        <v>52</v>
      </c>
      <c r="F85" s="6" t="s">
        <v>53</v>
      </c>
      <c r="G85" s="6" t="s">
        <v>54</v>
      </c>
      <c r="H85" s="7">
        <v>2</v>
      </c>
      <c r="I85" s="8">
        <v>149.99</v>
      </c>
      <c r="J85" s="6" t="s">
        <v>29</v>
      </c>
      <c r="K85" s="6" t="s">
        <v>60</v>
      </c>
      <c r="L85" s="6" t="s">
        <v>23</v>
      </c>
      <c r="M85" s="6" t="s">
        <v>351</v>
      </c>
      <c r="N85" s="8">
        <v>299.98</v>
      </c>
    </row>
    <row r="86" spans="1:14" ht="15" customHeight="1" x14ac:dyDescent="0.3">
      <c r="A86" s="3" t="s">
        <v>352</v>
      </c>
      <c r="B86" s="3" t="s">
        <v>353</v>
      </c>
      <c r="C86" s="3" t="s">
        <v>136</v>
      </c>
      <c r="D86" s="3" t="s">
        <v>137</v>
      </c>
      <c r="E86" s="3" t="s">
        <v>52</v>
      </c>
      <c r="F86" s="3" t="s">
        <v>53</v>
      </c>
      <c r="G86" s="3" t="s">
        <v>54</v>
      </c>
      <c r="H86" s="4">
        <v>2</v>
      </c>
      <c r="I86" s="5">
        <v>149.99</v>
      </c>
      <c r="J86" s="3" t="s">
        <v>69</v>
      </c>
      <c r="K86" s="3" t="s">
        <v>77</v>
      </c>
      <c r="L86" s="3" t="s">
        <v>41</v>
      </c>
      <c r="M86" s="3" t="s">
        <v>354</v>
      </c>
      <c r="N86" s="5">
        <v>299.98</v>
      </c>
    </row>
    <row r="87" spans="1:14" ht="15" customHeight="1" x14ac:dyDescent="0.3">
      <c r="A87" s="6" t="s">
        <v>355</v>
      </c>
      <c r="B87" s="6" t="s">
        <v>356</v>
      </c>
      <c r="C87" s="6" t="s">
        <v>115</v>
      </c>
      <c r="D87" s="6" t="s">
        <v>116</v>
      </c>
      <c r="E87" s="6" t="s">
        <v>159</v>
      </c>
      <c r="F87" s="6" t="s">
        <v>160</v>
      </c>
      <c r="G87" s="6" t="s">
        <v>20</v>
      </c>
      <c r="H87" s="7">
        <v>1</v>
      </c>
      <c r="I87" s="8">
        <v>89.99</v>
      </c>
      <c r="J87" s="6" t="s">
        <v>29</v>
      </c>
      <c r="K87" s="6" t="s">
        <v>47</v>
      </c>
      <c r="L87" s="6" t="s">
        <v>41</v>
      </c>
      <c r="M87" s="6" t="s">
        <v>15</v>
      </c>
      <c r="N87" s="8">
        <v>89.99</v>
      </c>
    </row>
    <row r="88" spans="1:14" ht="15" customHeight="1" x14ac:dyDescent="0.3">
      <c r="A88" s="3" t="s">
        <v>357</v>
      </c>
      <c r="B88" s="3" t="s">
        <v>358</v>
      </c>
      <c r="C88" s="3" t="s">
        <v>111</v>
      </c>
      <c r="D88" s="3" t="s">
        <v>112</v>
      </c>
      <c r="E88" s="3" t="s">
        <v>141</v>
      </c>
      <c r="F88" s="3" t="s">
        <v>142</v>
      </c>
      <c r="G88" s="3" t="s">
        <v>54</v>
      </c>
      <c r="H88" s="4">
        <v>5</v>
      </c>
      <c r="I88" s="5">
        <v>299.99</v>
      </c>
      <c r="J88" s="3" t="s">
        <v>29</v>
      </c>
      <c r="K88" s="3" t="s">
        <v>47</v>
      </c>
      <c r="L88" s="3" t="s">
        <v>23</v>
      </c>
      <c r="M88" s="3" t="s">
        <v>359</v>
      </c>
      <c r="N88" s="5">
        <v>1499.95</v>
      </c>
    </row>
    <row r="89" spans="1:14" ht="15" customHeight="1" x14ac:dyDescent="0.3">
      <c r="A89" s="6" t="s">
        <v>360</v>
      </c>
      <c r="B89" s="6" t="s">
        <v>361</v>
      </c>
      <c r="C89" s="6" t="s">
        <v>285</v>
      </c>
      <c r="D89" s="6" t="s">
        <v>286</v>
      </c>
      <c r="E89" s="6" t="s">
        <v>63</v>
      </c>
      <c r="F89" s="6" t="s">
        <v>64</v>
      </c>
      <c r="G89" s="6" t="s">
        <v>20</v>
      </c>
      <c r="H89" s="7">
        <v>4</v>
      </c>
      <c r="I89" s="8">
        <v>149.99</v>
      </c>
      <c r="J89" s="6" t="s">
        <v>69</v>
      </c>
      <c r="K89" s="6" t="s">
        <v>40</v>
      </c>
      <c r="L89" s="6" t="s">
        <v>30</v>
      </c>
      <c r="M89" s="6" t="s">
        <v>362</v>
      </c>
      <c r="N89" s="8">
        <v>599.96</v>
      </c>
    </row>
    <row r="90" spans="1:14" ht="15" customHeight="1" x14ac:dyDescent="0.3">
      <c r="A90" s="3" t="s">
        <v>363</v>
      </c>
      <c r="B90" s="3" t="s">
        <v>361</v>
      </c>
      <c r="C90" s="3" t="s">
        <v>290</v>
      </c>
      <c r="D90" s="3" t="s">
        <v>291</v>
      </c>
      <c r="E90" s="3" t="s">
        <v>18</v>
      </c>
      <c r="F90" s="3" t="s">
        <v>19</v>
      </c>
      <c r="G90" s="3" t="s">
        <v>20</v>
      </c>
      <c r="H90" s="4">
        <v>5</v>
      </c>
      <c r="I90" s="5">
        <v>249.99</v>
      </c>
      <c r="J90" s="3" t="s">
        <v>39</v>
      </c>
      <c r="K90" s="3" t="s">
        <v>77</v>
      </c>
      <c r="L90" s="3" t="s">
        <v>30</v>
      </c>
      <c r="M90" s="3" t="s">
        <v>364</v>
      </c>
      <c r="N90" s="5">
        <v>1249.95</v>
      </c>
    </row>
    <row r="91" spans="1:14" ht="15" customHeight="1" x14ac:dyDescent="0.3">
      <c r="A91" s="6" t="s">
        <v>365</v>
      </c>
      <c r="B91" s="6" t="s">
        <v>361</v>
      </c>
      <c r="C91" s="6" t="s">
        <v>81</v>
      </c>
      <c r="D91" s="6" t="s">
        <v>82</v>
      </c>
      <c r="E91" s="6" t="s">
        <v>18</v>
      </c>
      <c r="F91" s="6" t="s">
        <v>19</v>
      </c>
      <c r="G91" s="6" t="s">
        <v>20</v>
      </c>
      <c r="H91" s="7">
        <v>3</v>
      </c>
      <c r="I91" s="8">
        <v>249.99</v>
      </c>
      <c r="J91" s="6" t="s">
        <v>39</v>
      </c>
      <c r="K91" s="6" t="s">
        <v>47</v>
      </c>
      <c r="L91" s="6" t="s">
        <v>30</v>
      </c>
      <c r="M91" s="6" t="s">
        <v>366</v>
      </c>
      <c r="N91" s="8">
        <v>749.97</v>
      </c>
    </row>
    <row r="92" spans="1:14" ht="15" customHeight="1" x14ac:dyDescent="0.3">
      <c r="A92" s="3" t="s">
        <v>367</v>
      </c>
      <c r="B92" s="3" t="s">
        <v>361</v>
      </c>
      <c r="C92" s="3" t="s">
        <v>45</v>
      </c>
      <c r="D92" s="3" t="s">
        <v>46</v>
      </c>
      <c r="E92" s="3" t="s">
        <v>173</v>
      </c>
      <c r="F92" s="3" t="s">
        <v>174</v>
      </c>
      <c r="G92" s="3" t="s">
        <v>54</v>
      </c>
      <c r="H92" s="4">
        <v>4</v>
      </c>
      <c r="I92" s="5">
        <v>199.99</v>
      </c>
      <c r="J92" s="3" t="s">
        <v>21</v>
      </c>
      <c r="K92" s="3" t="s">
        <v>47</v>
      </c>
      <c r="L92" s="3" t="s">
        <v>41</v>
      </c>
      <c r="M92" s="3" t="s">
        <v>368</v>
      </c>
      <c r="N92" s="5">
        <v>799.96</v>
      </c>
    </row>
    <row r="93" spans="1:14" ht="15" customHeight="1" x14ac:dyDescent="0.3">
      <c r="A93" s="6" t="s">
        <v>369</v>
      </c>
      <c r="B93" s="6" t="s">
        <v>370</v>
      </c>
      <c r="C93" s="6" t="s">
        <v>231</v>
      </c>
      <c r="D93" s="6" t="s">
        <v>232</v>
      </c>
      <c r="E93" s="6" t="s">
        <v>173</v>
      </c>
      <c r="F93" s="6" t="s">
        <v>174</v>
      </c>
      <c r="G93" s="6" t="s">
        <v>54</v>
      </c>
      <c r="H93" s="7">
        <v>5</v>
      </c>
      <c r="I93" s="8">
        <v>199.99</v>
      </c>
      <c r="J93" s="6" t="s">
        <v>21</v>
      </c>
      <c r="K93" s="6" t="s">
        <v>47</v>
      </c>
      <c r="L93" s="6" t="s">
        <v>30</v>
      </c>
      <c r="M93" s="6" t="s">
        <v>371</v>
      </c>
      <c r="N93" s="8">
        <v>999.95</v>
      </c>
    </row>
    <row r="94" spans="1:14" ht="15" customHeight="1" x14ac:dyDescent="0.3">
      <c r="A94" s="3" t="s">
        <v>372</v>
      </c>
      <c r="B94" s="3" t="s">
        <v>373</v>
      </c>
      <c r="C94" s="3" t="s">
        <v>111</v>
      </c>
      <c r="D94" s="3" t="s">
        <v>112</v>
      </c>
      <c r="E94" s="3" t="s">
        <v>159</v>
      </c>
      <c r="F94" s="3" t="s">
        <v>160</v>
      </c>
      <c r="G94" s="3" t="s">
        <v>20</v>
      </c>
      <c r="H94" s="4">
        <v>2</v>
      </c>
      <c r="I94" s="5">
        <v>89.99</v>
      </c>
      <c r="J94" s="3" t="s">
        <v>21</v>
      </c>
      <c r="K94" s="3" t="s">
        <v>77</v>
      </c>
      <c r="L94" s="3" t="s">
        <v>30</v>
      </c>
      <c r="M94" s="3" t="s">
        <v>374</v>
      </c>
      <c r="N94" s="5">
        <v>179.98</v>
      </c>
    </row>
    <row r="95" spans="1:14" ht="15" customHeight="1" x14ac:dyDescent="0.3">
      <c r="A95" s="6" t="s">
        <v>375</v>
      </c>
      <c r="B95" s="6" t="s">
        <v>376</v>
      </c>
      <c r="C95" s="6" t="s">
        <v>312</v>
      </c>
      <c r="D95" s="6" t="s">
        <v>313</v>
      </c>
      <c r="E95" s="6" t="s">
        <v>75</v>
      </c>
      <c r="F95" s="6" t="s">
        <v>76</v>
      </c>
      <c r="G95" s="6" t="s">
        <v>20</v>
      </c>
      <c r="H95" s="7">
        <v>5</v>
      </c>
      <c r="I95" s="8">
        <v>899.99</v>
      </c>
      <c r="J95" s="6" t="s">
        <v>69</v>
      </c>
      <c r="K95" s="6" t="s">
        <v>77</v>
      </c>
      <c r="L95" s="6" t="s">
        <v>23</v>
      </c>
      <c r="M95" s="6" t="s">
        <v>377</v>
      </c>
      <c r="N95" s="8">
        <v>4499.95</v>
      </c>
    </row>
    <row r="96" spans="1:14" ht="15" customHeight="1" x14ac:dyDescent="0.3">
      <c r="A96" s="3" t="s">
        <v>378</v>
      </c>
      <c r="B96" s="3" t="s">
        <v>376</v>
      </c>
      <c r="C96" s="3" t="s">
        <v>146</v>
      </c>
      <c r="D96" s="3" t="s">
        <v>147</v>
      </c>
      <c r="E96" s="3" t="s">
        <v>63</v>
      </c>
      <c r="F96" s="3" t="s">
        <v>64</v>
      </c>
      <c r="G96" s="3" t="s">
        <v>20</v>
      </c>
      <c r="H96" s="4">
        <v>3</v>
      </c>
      <c r="I96" s="5">
        <v>149.99</v>
      </c>
      <c r="J96" s="3" t="s">
        <v>39</v>
      </c>
      <c r="K96" s="3" t="s">
        <v>77</v>
      </c>
      <c r="L96" s="3" t="s">
        <v>23</v>
      </c>
      <c r="M96" s="3" t="s">
        <v>379</v>
      </c>
      <c r="N96" s="5">
        <v>449.97</v>
      </c>
    </row>
    <row r="97" spans="1:14" ht="15" customHeight="1" x14ac:dyDescent="0.3">
      <c r="A97" s="6" t="s">
        <v>380</v>
      </c>
      <c r="B97" s="6" t="s">
        <v>381</v>
      </c>
      <c r="C97" s="6" t="s">
        <v>136</v>
      </c>
      <c r="D97" s="6" t="s">
        <v>137</v>
      </c>
      <c r="E97" s="6" t="s">
        <v>52</v>
      </c>
      <c r="F97" s="6" t="s">
        <v>53</v>
      </c>
      <c r="G97" s="6" t="s">
        <v>54</v>
      </c>
      <c r="H97" s="7">
        <v>5</v>
      </c>
      <c r="I97" s="8">
        <v>149.99</v>
      </c>
      <c r="J97" s="6" t="s">
        <v>29</v>
      </c>
      <c r="K97" s="6" t="s">
        <v>22</v>
      </c>
      <c r="L97" s="6" t="s">
        <v>23</v>
      </c>
      <c r="M97" s="6" t="s">
        <v>382</v>
      </c>
      <c r="N97" s="8">
        <v>749.95</v>
      </c>
    </row>
    <row r="98" spans="1:14" ht="15" customHeight="1" x14ac:dyDescent="0.3">
      <c r="A98" s="3" t="s">
        <v>383</v>
      </c>
      <c r="B98" s="3" t="s">
        <v>384</v>
      </c>
      <c r="C98" s="3" t="s">
        <v>385</v>
      </c>
      <c r="D98" s="3" t="s">
        <v>386</v>
      </c>
      <c r="E98" s="3" t="s">
        <v>155</v>
      </c>
      <c r="F98" s="3" t="s">
        <v>156</v>
      </c>
      <c r="G98" s="3" t="s">
        <v>38</v>
      </c>
      <c r="H98" s="4">
        <v>3</v>
      </c>
      <c r="I98" s="5">
        <v>79.989999999999995</v>
      </c>
      <c r="J98" s="3" t="s">
        <v>21</v>
      </c>
      <c r="K98" s="3" t="s">
        <v>22</v>
      </c>
      <c r="L98" s="3" t="s">
        <v>30</v>
      </c>
      <c r="M98" s="3" t="s">
        <v>387</v>
      </c>
      <c r="N98" s="5">
        <v>239.97</v>
      </c>
    </row>
    <row r="99" spans="1:14" ht="15" customHeight="1" x14ac:dyDescent="0.3">
      <c r="A99" s="6" t="s">
        <v>388</v>
      </c>
      <c r="B99" s="6" t="s">
        <v>384</v>
      </c>
      <c r="C99" s="6" t="s">
        <v>207</v>
      </c>
      <c r="D99" s="6" t="s">
        <v>208</v>
      </c>
      <c r="E99" s="6" t="s">
        <v>18</v>
      </c>
      <c r="F99" s="6" t="s">
        <v>19</v>
      </c>
      <c r="G99" s="6" t="s">
        <v>20</v>
      </c>
      <c r="H99" s="7">
        <v>2</v>
      </c>
      <c r="I99" s="8">
        <v>249.99</v>
      </c>
      <c r="J99" s="6" t="s">
        <v>21</v>
      </c>
      <c r="K99" s="6" t="s">
        <v>40</v>
      </c>
      <c r="L99" s="6" t="s">
        <v>41</v>
      </c>
      <c r="M99" s="6" t="s">
        <v>389</v>
      </c>
      <c r="N99" s="8">
        <v>499.98</v>
      </c>
    </row>
    <row r="100" spans="1:14" ht="15" customHeight="1" x14ac:dyDescent="0.3">
      <c r="A100" s="3" t="s">
        <v>390</v>
      </c>
      <c r="B100" s="3" t="s">
        <v>391</v>
      </c>
      <c r="C100" s="3" t="s">
        <v>312</v>
      </c>
      <c r="D100" s="3" t="s">
        <v>313</v>
      </c>
      <c r="E100" s="3" t="s">
        <v>102</v>
      </c>
      <c r="F100" s="3" t="s">
        <v>103</v>
      </c>
      <c r="G100" s="3" t="s">
        <v>20</v>
      </c>
      <c r="H100" s="4">
        <v>1</v>
      </c>
      <c r="I100" s="5">
        <v>699.99</v>
      </c>
      <c r="J100" s="3" t="s">
        <v>21</v>
      </c>
      <c r="K100" s="3" t="s">
        <v>22</v>
      </c>
      <c r="L100" s="3" t="s">
        <v>30</v>
      </c>
      <c r="M100" s="3" t="s">
        <v>392</v>
      </c>
      <c r="N100" s="5">
        <v>699.99</v>
      </c>
    </row>
    <row r="101" spans="1:14" ht="15" customHeight="1" x14ac:dyDescent="0.3">
      <c r="A101" s="6" t="s">
        <v>393</v>
      </c>
      <c r="B101" s="6" t="s">
        <v>391</v>
      </c>
      <c r="C101" s="6" t="s">
        <v>394</v>
      </c>
      <c r="D101" s="6" t="s">
        <v>395</v>
      </c>
      <c r="E101" s="6" t="s">
        <v>63</v>
      </c>
      <c r="F101" s="6" t="s">
        <v>64</v>
      </c>
      <c r="G101" s="6" t="s">
        <v>20</v>
      </c>
      <c r="H101" s="7">
        <v>3</v>
      </c>
      <c r="I101" s="8">
        <v>149.99</v>
      </c>
      <c r="J101" s="6" t="s">
        <v>21</v>
      </c>
      <c r="K101" s="6" t="s">
        <v>60</v>
      </c>
      <c r="L101" s="6" t="s">
        <v>30</v>
      </c>
      <c r="M101" s="6" t="s">
        <v>396</v>
      </c>
      <c r="N101" s="8">
        <v>449.97</v>
      </c>
    </row>
    <row r="102" spans="1:14" ht="15" customHeight="1" x14ac:dyDescent="0.3">
      <c r="A102" s="3" t="s">
        <v>397</v>
      </c>
      <c r="B102" s="3" t="s">
        <v>398</v>
      </c>
      <c r="C102" s="3" t="s">
        <v>399</v>
      </c>
      <c r="D102" s="3" t="s">
        <v>400</v>
      </c>
      <c r="E102" s="3" t="s">
        <v>102</v>
      </c>
      <c r="F102" s="3" t="s">
        <v>103</v>
      </c>
      <c r="G102" s="3" t="s">
        <v>20</v>
      </c>
      <c r="H102" s="4">
        <v>2</v>
      </c>
      <c r="I102" s="5">
        <v>699.99</v>
      </c>
      <c r="J102" s="3" t="s">
        <v>29</v>
      </c>
      <c r="K102" s="3" t="s">
        <v>47</v>
      </c>
      <c r="L102" s="3" t="s">
        <v>30</v>
      </c>
      <c r="M102" s="3" t="s">
        <v>292</v>
      </c>
      <c r="N102" s="5">
        <v>1399.98</v>
      </c>
    </row>
    <row r="103" spans="1:14" ht="15" customHeight="1" x14ac:dyDescent="0.3">
      <c r="A103" s="6" t="s">
        <v>401</v>
      </c>
      <c r="B103" s="6" t="s">
        <v>402</v>
      </c>
      <c r="C103" s="6" t="s">
        <v>394</v>
      </c>
      <c r="D103" s="6" t="s">
        <v>395</v>
      </c>
      <c r="E103" s="6" t="s">
        <v>18</v>
      </c>
      <c r="F103" s="6" t="s">
        <v>19</v>
      </c>
      <c r="G103" s="6" t="s">
        <v>20</v>
      </c>
      <c r="H103" s="7">
        <v>1</v>
      </c>
      <c r="I103" s="8">
        <v>249.99</v>
      </c>
      <c r="J103" s="6" t="s">
        <v>29</v>
      </c>
      <c r="K103" s="6" t="s">
        <v>60</v>
      </c>
      <c r="L103" s="6" t="s">
        <v>30</v>
      </c>
      <c r="M103" s="6" t="s">
        <v>403</v>
      </c>
      <c r="N103" s="8">
        <v>249.99</v>
      </c>
    </row>
    <row r="104" spans="1:14" ht="15" customHeight="1" x14ac:dyDescent="0.3">
      <c r="A104" s="3" t="s">
        <v>404</v>
      </c>
      <c r="B104" s="3" t="s">
        <v>402</v>
      </c>
      <c r="C104" s="3" t="s">
        <v>16</v>
      </c>
      <c r="D104" s="3" t="s">
        <v>17</v>
      </c>
      <c r="E104" s="3" t="s">
        <v>18</v>
      </c>
      <c r="F104" s="3" t="s">
        <v>19</v>
      </c>
      <c r="G104" s="3" t="s">
        <v>20</v>
      </c>
      <c r="H104" s="4">
        <v>1</v>
      </c>
      <c r="I104" s="5">
        <v>249.99</v>
      </c>
      <c r="J104" s="3" t="s">
        <v>69</v>
      </c>
      <c r="K104" s="3" t="s">
        <v>47</v>
      </c>
      <c r="L104" s="3" t="s">
        <v>30</v>
      </c>
      <c r="M104" s="3" t="s">
        <v>405</v>
      </c>
      <c r="N104" s="5">
        <v>249.99</v>
      </c>
    </row>
    <row r="105" spans="1:14" ht="15" customHeight="1" x14ac:dyDescent="0.3">
      <c r="A105" s="6" t="s">
        <v>406</v>
      </c>
      <c r="B105" s="6" t="s">
        <v>407</v>
      </c>
      <c r="C105" s="6" t="s">
        <v>385</v>
      </c>
      <c r="D105" s="6" t="s">
        <v>386</v>
      </c>
      <c r="E105" s="6" t="s">
        <v>102</v>
      </c>
      <c r="F105" s="6" t="s">
        <v>103</v>
      </c>
      <c r="G105" s="6" t="s">
        <v>20</v>
      </c>
      <c r="H105" s="7">
        <v>2</v>
      </c>
      <c r="I105" s="8">
        <v>699.99</v>
      </c>
      <c r="J105" s="6" t="s">
        <v>69</v>
      </c>
      <c r="K105" s="6" t="s">
        <v>22</v>
      </c>
      <c r="L105" s="6" t="s">
        <v>30</v>
      </c>
      <c r="M105" s="6" t="s">
        <v>408</v>
      </c>
      <c r="N105" s="8">
        <v>1399.98</v>
      </c>
    </row>
    <row r="106" spans="1:14" ht="15" customHeight="1" x14ac:dyDescent="0.3">
      <c r="A106" s="3" t="s">
        <v>409</v>
      </c>
      <c r="B106" s="3" t="s">
        <v>410</v>
      </c>
      <c r="C106" s="3" t="s">
        <v>197</v>
      </c>
      <c r="D106" s="3" t="s">
        <v>198</v>
      </c>
      <c r="E106" s="3" t="s">
        <v>36</v>
      </c>
      <c r="F106" s="3" t="s">
        <v>37</v>
      </c>
      <c r="G106" s="3" t="s">
        <v>38</v>
      </c>
      <c r="H106" s="4">
        <v>3</v>
      </c>
      <c r="I106" s="5">
        <v>59.99</v>
      </c>
      <c r="J106" s="3" t="s">
        <v>29</v>
      </c>
      <c r="K106" s="3" t="s">
        <v>22</v>
      </c>
      <c r="L106" s="3" t="s">
        <v>30</v>
      </c>
      <c r="M106" s="3" t="s">
        <v>411</v>
      </c>
      <c r="N106" s="5">
        <v>179.97</v>
      </c>
    </row>
    <row r="107" spans="1:14" ht="15" customHeight="1" x14ac:dyDescent="0.3">
      <c r="A107" s="6" t="s">
        <v>412</v>
      </c>
      <c r="B107" s="6" t="s">
        <v>413</v>
      </c>
      <c r="C107" s="6" t="s">
        <v>183</v>
      </c>
      <c r="D107" s="6" t="s">
        <v>184</v>
      </c>
      <c r="E107" s="6" t="s">
        <v>36</v>
      </c>
      <c r="F107" s="6" t="s">
        <v>37</v>
      </c>
      <c r="G107" s="6" t="s">
        <v>38</v>
      </c>
      <c r="H107" s="7">
        <v>3</v>
      </c>
      <c r="I107" s="8">
        <v>59.99</v>
      </c>
      <c r="J107" s="6" t="s">
        <v>39</v>
      </c>
      <c r="K107" s="6" t="s">
        <v>77</v>
      </c>
      <c r="L107" s="6" t="s">
        <v>41</v>
      </c>
      <c r="M107" s="6" t="s">
        <v>414</v>
      </c>
      <c r="N107" s="8">
        <v>179.97</v>
      </c>
    </row>
    <row r="108" spans="1:14" ht="15" customHeight="1" x14ac:dyDescent="0.3">
      <c r="A108" s="3" t="s">
        <v>415</v>
      </c>
      <c r="B108" s="3" t="s">
        <v>413</v>
      </c>
      <c r="C108" s="3" t="s">
        <v>202</v>
      </c>
      <c r="D108" s="3" t="s">
        <v>203</v>
      </c>
      <c r="E108" s="3" t="s">
        <v>155</v>
      </c>
      <c r="F108" s="3" t="s">
        <v>156</v>
      </c>
      <c r="G108" s="3" t="s">
        <v>38</v>
      </c>
      <c r="H108" s="4">
        <v>4</v>
      </c>
      <c r="I108" s="5">
        <v>79.989999999999995</v>
      </c>
      <c r="J108" s="3" t="s">
        <v>21</v>
      </c>
      <c r="K108" s="3" t="s">
        <v>47</v>
      </c>
      <c r="L108" s="3" t="s">
        <v>23</v>
      </c>
      <c r="M108" s="3" t="s">
        <v>416</v>
      </c>
      <c r="N108" s="5">
        <v>319.95999999999998</v>
      </c>
    </row>
    <row r="109" spans="1:14" ht="15" customHeight="1" x14ac:dyDescent="0.3">
      <c r="A109" s="6" t="s">
        <v>417</v>
      </c>
      <c r="B109" s="6" t="s">
        <v>418</v>
      </c>
      <c r="C109" s="6" t="s">
        <v>67</v>
      </c>
      <c r="D109" s="6" t="s">
        <v>68</v>
      </c>
      <c r="E109" s="6" t="s">
        <v>155</v>
      </c>
      <c r="F109" s="6" t="s">
        <v>156</v>
      </c>
      <c r="G109" s="6" t="s">
        <v>38</v>
      </c>
      <c r="H109" s="7">
        <v>1</v>
      </c>
      <c r="I109" s="8">
        <v>79.989999999999995</v>
      </c>
      <c r="J109" s="6" t="s">
        <v>21</v>
      </c>
      <c r="K109" s="6" t="s">
        <v>60</v>
      </c>
      <c r="L109" s="6" t="s">
        <v>23</v>
      </c>
      <c r="M109" s="6" t="s">
        <v>419</v>
      </c>
      <c r="N109" s="8">
        <v>79.989999999999995</v>
      </c>
    </row>
    <row r="110" spans="1:14" ht="15" customHeight="1" x14ac:dyDescent="0.3">
      <c r="A110" s="3" t="s">
        <v>420</v>
      </c>
      <c r="B110" s="3" t="s">
        <v>421</v>
      </c>
      <c r="C110" s="3" t="s">
        <v>58</v>
      </c>
      <c r="D110" s="3" t="s">
        <v>59</v>
      </c>
      <c r="E110" s="3" t="s">
        <v>141</v>
      </c>
      <c r="F110" s="3" t="s">
        <v>142</v>
      </c>
      <c r="G110" s="3" t="s">
        <v>54</v>
      </c>
      <c r="H110" s="4">
        <v>3</v>
      </c>
      <c r="I110" s="5">
        <v>299.99</v>
      </c>
      <c r="J110" s="3" t="s">
        <v>29</v>
      </c>
      <c r="K110" s="3" t="s">
        <v>22</v>
      </c>
      <c r="L110" s="3" t="s">
        <v>30</v>
      </c>
      <c r="M110" s="3" t="s">
        <v>422</v>
      </c>
      <c r="N110" s="5">
        <v>899.97</v>
      </c>
    </row>
    <row r="111" spans="1:14" ht="15" customHeight="1" x14ac:dyDescent="0.3">
      <c r="A111" s="6" t="s">
        <v>423</v>
      </c>
      <c r="B111" s="6" t="s">
        <v>424</v>
      </c>
      <c r="C111" s="6" t="s">
        <v>45</v>
      </c>
      <c r="D111" s="6" t="s">
        <v>46</v>
      </c>
      <c r="E111" s="6" t="s">
        <v>159</v>
      </c>
      <c r="F111" s="6" t="s">
        <v>160</v>
      </c>
      <c r="G111" s="6" t="s">
        <v>20</v>
      </c>
      <c r="H111" s="7">
        <v>2</v>
      </c>
      <c r="I111" s="8">
        <v>89.99</v>
      </c>
      <c r="J111" s="6" t="s">
        <v>29</v>
      </c>
      <c r="K111" s="6" t="s">
        <v>40</v>
      </c>
      <c r="L111" s="6" t="s">
        <v>30</v>
      </c>
      <c r="M111" s="6" t="s">
        <v>425</v>
      </c>
      <c r="N111" s="8">
        <v>179.98</v>
      </c>
    </row>
    <row r="112" spans="1:14" ht="15" customHeight="1" x14ac:dyDescent="0.3">
      <c r="A112" s="3" t="s">
        <v>426</v>
      </c>
      <c r="B112" s="3" t="s">
        <v>427</v>
      </c>
      <c r="C112" s="3" t="s">
        <v>428</v>
      </c>
      <c r="D112" s="3" t="s">
        <v>429</v>
      </c>
      <c r="E112" s="3" t="s">
        <v>63</v>
      </c>
      <c r="F112" s="3" t="s">
        <v>64</v>
      </c>
      <c r="G112" s="3" t="s">
        <v>20</v>
      </c>
      <c r="H112" s="4">
        <v>4</v>
      </c>
      <c r="I112" s="5">
        <v>149.99</v>
      </c>
      <c r="J112" s="3" t="s">
        <v>21</v>
      </c>
      <c r="K112" s="3" t="s">
        <v>47</v>
      </c>
      <c r="L112" s="3" t="s">
        <v>23</v>
      </c>
      <c r="M112" s="3" t="s">
        <v>302</v>
      </c>
      <c r="N112" s="5">
        <v>599.96</v>
      </c>
    </row>
    <row r="113" spans="1:14" ht="15" customHeight="1" x14ac:dyDescent="0.3">
      <c r="A113" s="6" t="s">
        <v>430</v>
      </c>
      <c r="B113" s="6" t="s">
        <v>431</v>
      </c>
      <c r="C113" s="6" t="s">
        <v>81</v>
      </c>
      <c r="D113" s="6" t="s">
        <v>82</v>
      </c>
      <c r="E113" s="6" t="s">
        <v>18</v>
      </c>
      <c r="F113" s="6" t="s">
        <v>19</v>
      </c>
      <c r="G113" s="6" t="s">
        <v>20</v>
      </c>
      <c r="H113" s="7">
        <v>2</v>
      </c>
      <c r="I113" s="8">
        <v>249.99</v>
      </c>
      <c r="J113" s="6" t="s">
        <v>39</v>
      </c>
      <c r="K113" s="6" t="s">
        <v>40</v>
      </c>
      <c r="L113" s="6" t="s">
        <v>23</v>
      </c>
      <c r="M113" s="6" t="s">
        <v>271</v>
      </c>
      <c r="N113" s="8">
        <v>499.98</v>
      </c>
    </row>
    <row r="114" spans="1:14" ht="15" customHeight="1" x14ac:dyDescent="0.3">
      <c r="A114" s="3" t="s">
        <v>432</v>
      </c>
      <c r="B114" s="3" t="s">
        <v>431</v>
      </c>
      <c r="C114" s="3" t="s">
        <v>224</v>
      </c>
      <c r="D114" s="3" t="s">
        <v>225</v>
      </c>
      <c r="E114" s="3" t="s">
        <v>173</v>
      </c>
      <c r="F114" s="3" t="s">
        <v>174</v>
      </c>
      <c r="G114" s="3" t="s">
        <v>54</v>
      </c>
      <c r="H114" s="4">
        <v>4</v>
      </c>
      <c r="I114" s="5">
        <v>199.99</v>
      </c>
      <c r="J114" s="3" t="s">
        <v>69</v>
      </c>
      <c r="K114" s="3" t="s">
        <v>77</v>
      </c>
      <c r="L114" s="3" t="s">
        <v>23</v>
      </c>
      <c r="M114" s="3" t="s">
        <v>368</v>
      </c>
      <c r="N114" s="5">
        <v>799.96</v>
      </c>
    </row>
    <row r="115" spans="1:14" ht="15" customHeight="1" x14ac:dyDescent="0.3">
      <c r="A115" s="6" t="s">
        <v>433</v>
      </c>
      <c r="B115" s="6" t="s">
        <v>434</v>
      </c>
      <c r="C115" s="6" t="s">
        <v>212</v>
      </c>
      <c r="D115" s="6" t="s">
        <v>213</v>
      </c>
      <c r="E115" s="6" t="s">
        <v>159</v>
      </c>
      <c r="F115" s="6" t="s">
        <v>160</v>
      </c>
      <c r="G115" s="6" t="s">
        <v>20</v>
      </c>
      <c r="H115" s="7">
        <v>5</v>
      </c>
      <c r="I115" s="8">
        <v>89.99</v>
      </c>
      <c r="J115" s="6" t="s">
        <v>29</v>
      </c>
      <c r="K115" s="6" t="s">
        <v>77</v>
      </c>
      <c r="L115" s="6" t="s">
        <v>30</v>
      </c>
      <c r="M115" s="6" t="s">
        <v>435</v>
      </c>
      <c r="N115" s="8">
        <v>449.95</v>
      </c>
    </row>
    <row r="116" spans="1:14" ht="15" customHeight="1" x14ac:dyDescent="0.3">
      <c r="A116" s="3" t="s">
        <v>436</v>
      </c>
      <c r="B116" s="3" t="s">
        <v>434</v>
      </c>
      <c r="C116" s="3" t="s">
        <v>437</v>
      </c>
      <c r="D116" s="3" t="s">
        <v>438</v>
      </c>
      <c r="E116" s="3" t="s">
        <v>63</v>
      </c>
      <c r="F116" s="3" t="s">
        <v>64</v>
      </c>
      <c r="G116" s="3" t="s">
        <v>20</v>
      </c>
      <c r="H116" s="4">
        <v>1</v>
      </c>
      <c r="I116" s="5">
        <v>149.99</v>
      </c>
      <c r="J116" s="3" t="s">
        <v>39</v>
      </c>
      <c r="K116" s="3" t="s">
        <v>77</v>
      </c>
      <c r="L116" s="3" t="s">
        <v>41</v>
      </c>
      <c r="M116" s="3" t="s">
        <v>439</v>
      </c>
      <c r="N116" s="5">
        <v>149.99</v>
      </c>
    </row>
    <row r="117" spans="1:14" ht="15" customHeight="1" x14ac:dyDescent="0.3">
      <c r="A117" s="6" t="s">
        <v>440</v>
      </c>
      <c r="B117" s="6" t="s">
        <v>434</v>
      </c>
      <c r="C117" s="6" t="s">
        <v>91</v>
      </c>
      <c r="D117" s="6" t="s">
        <v>92</v>
      </c>
      <c r="E117" s="6" t="s">
        <v>102</v>
      </c>
      <c r="F117" s="6" t="s">
        <v>103</v>
      </c>
      <c r="G117" s="6" t="s">
        <v>20</v>
      </c>
      <c r="H117" s="7">
        <v>4</v>
      </c>
      <c r="I117" s="8">
        <v>699.99</v>
      </c>
      <c r="J117" s="6" t="s">
        <v>39</v>
      </c>
      <c r="K117" s="6" t="s">
        <v>40</v>
      </c>
      <c r="L117" s="6" t="s">
        <v>23</v>
      </c>
      <c r="M117" s="6" t="s">
        <v>441</v>
      </c>
      <c r="N117" s="8">
        <v>2799.96</v>
      </c>
    </row>
    <row r="118" spans="1:14" ht="15" customHeight="1" x14ac:dyDescent="0.3">
      <c r="A118" s="3" t="s">
        <v>442</v>
      </c>
      <c r="B118" s="3" t="s">
        <v>443</v>
      </c>
      <c r="C118" s="3" t="s">
        <v>399</v>
      </c>
      <c r="D118" s="3" t="s">
        <v>400</v>
      </c>
      <c r="E118" s="3" t="s">
        <v>75</v>
      </c>
      <c r="F118" s="3" t="s">
        <v>76</v>
      </c>
      <c r="G118" s="3" t="s">
        <v>20</v>
      </c>
      <c r="H118" s="4">
        <v>3</v>
      </c>
      <c r="I118" s="5">
        <v>899.99</v>
      </c>
      <c r="J118" s="3" t="s">
        <v>29</v>
      </c>
      <c r="K118" s="3" t="s">
        <v>47</v>
      </c>
      <c r="L118" s="3" t="s">
        <v>41</v>
      </c>
      <c r="M118" s="3" t="s">
        <v>444</v>
      </c>
      <c r="N118" s="5">
        <v>2699.97</v>
      </c>
    </row>
    <row r="119" spans="1:14" ht="15" customHeight="1" x14ac:dyDescent="0.3">
      <c r="A119" s="6" t="s">
        <v>445</v>
      </c>
      <c r="B119" s="6" t="s">
        <v>446</v>
      </c>
      <c r="C119" s="6" t="s">
        <v>153</v>
      </c>
      <c r="D119" s="6" t="s">
        <v>154</v>
      </c>
      <c r="E119" s="6" t="s">
        <v>52</v>
      </c>
      <c r="F119" s="6" t="s">
        <v>53</v>
      </c>
      <c r="G119" s="6" t="s">
        <v>54</v>
      </c>
      <c r="H119" s="7">
        <v>3</v>
      </c>
      <c r="I119" s="8">
        <v>149.99</v>
      </c>
      <c r="J119" s="6" t="s">
        <v>39</v>
      </c>
      <c r="K119" s="6" t="s">
        <v>77</v>
      </c>
      <c r="L119" s="6" t="s">
        <v>23</v>
      </c>
      <c r="M119" s="6" t="s">
        <v>447</v>
      </c>
      <c r="N119" s="8">
        <v>449.97</v>
      </c>
    </row>
    <row r="120" spans="1:14" ht="15" customHeight="1" x14ac:dyDescent="0.3">
      <c r="A120" s="3" t="s">
        <v>448</v>
      </c>
      <c r="B120" s="3" t="s">
        <v>449</v>
      </c>
      <c r="C120" s="3" t="s">
        <v>131</v>
      </c>
      <c r="D120" s="3" t="s">
        <v>132</v>
      </c>
      <c r="E120" s="3" t="s">
        <v>141</v>
      </c>
      <c r="F120" s="3" t="s">
        <v>142</v>
      </c>
      <c r="G120" s="3" t="s">
        <v>54</v>
      </c>
      <c r="H120" s="4">
        <v>2</v>
      </c>
      <c r="I120" s="5">
        <v>299.99</v>
      </c>
      <c r="J120" s="3" t="s">
        <v>69</v>
      </c>
      <c r="K120" s="3" t="s">
        <v>22</v>
      </c>
      <c r="L120" s="3" t="s">
        <v>23</v>
      </c>
      <c r="M120" s="3" t="s">
        <v>450</v>
      </c>
      <c r="N120" s="5">
        <v>599.98</v>
      </c>
    </row>
    <row r="121" spans="1:14" ht="15" customHeight="1" x14ac:dyDescent="0.3">
      <c r="A121" s="6" t="s">
        <v>451</v>
      </c>
      <c r="B121" s="6" t="s">
        <v>452</v>
      </c>
      <c r="C121" s="6" t="s">
        <v>453</v>
      </c>
      <c r="D121" s="6" t="s">
        <v>454</v>
      </c>
      <c r="E121" s="6" t="s">
        <v>173</v>
      </c>
      <c r="F121" s="6" t="s">
        <v>174</v>
      </c>
      <c r="G121" s="6" t="s">
        <v>54</v>
      </c>
      <c r="H121" s="7">
        <v>1</v>
      </c>
      <c r="I121" s="8">
        <v>199.99</v>
      </c>
      <c r="J121" s="6" t="s">
        <v>69</v>
      </c>
      <c r="K121" s="6" t="s">
        <v>77</v>
      </c>
      <c r="L121" s="6" t="s">
        <v>41</v>
      </c>
      <c r="M121" s="6" t="s">
        <v>455</v>
      </c>
      <c r="N121" s="8">
        <v>199.99</v>
      </c>
    </row>
    <row r="122" spans="1:14" ht="15" customHeight="1" x14ac:dyDescent="0.3">
      <c r="A122" s="3" t="s">
        <v>456</v>
      </c>
      <c r="B122" s="3" t="s">
        <v>457</v>
      </c>
      <c r="C122" s="3" t="s">
        <v>50</v>
      </c>
      <c r="D122" s="3" t="s">
        <v>51</v>
      </c>
      <c r="E122" s="3" t="s">
        <v>141</v>
      </c>
      <c r="F122" s="3" t="s">
        <v>142</v>
      </c>
      <c r="G122" s="3" t="s">
        <v>54</v>
      </c>
      <c r="H122" s="4">
        <v>4</v>
      </c>
      <c r="I122" s="5">
        <v>299.99</v>
      </c>
      <c r="J122" s="3" t="s">
        <v>21</v>
      </c>
      <c r="K122" s="3" t="s">
        <v>22</v>
      </c>
      <c r="L122" s="3" t="s">
        <v>30</v>
      </c>
      <c r="M122" s="3" t="s">
        <v>458</v>
      </c>
      <c r="N122" s="5">
        <v>1199.96</v>
      </c>
    </row>
    <row r="123" spans="1:14" ht="15" customHeight="1" x14ac:dyDescent="0.3">
      <c r="A123" s="6" t="s">
        <v>459</v>
      </c>
      <c r="B123" s="6" t="s">
        <v>460</v>
      </c>
      <c r="C123" s="6" t="s">
        <v>115</v>
      </c>
      <c r="D123" s="6" t="s">
        <v>116</v>
      </c>
      <c r="E123" s="6" t="s">
        <v>36</v>
      </c>
      <c r="F123" s="6" t="s">
        <v>37</v>
      </c>
      <c r="G123" s="6" t="s">
        <v>38</v>
      </c>
      <c r="H123" s="7">
        <v>2</v>
      </c>
      <c r="I123" s="8">
        <v>59.99</v>
      </c>
      <c r="J123" s="6" t="s">
        <v>29</v>
      </c>
      <c r="K123" s="6" t="s">
        <v>22</v>
      </c>
      <c r="L123" s="6" t="s">
        <v>23</v>
      </c>
      <c r="M123" s="6" t="s">
        <v>244</v>
      </c>
      <c r="N123" s="8">
        <v>119.98</v>
      </c>
    </row>
    <row r="124" spans="1:14" ht="15" customHeight="1" x14ac:dyDescent="0.3">
      <c r="A124" s="3" t="s">
        <v>461</v>
      </c>
      <c r="B124" s="3" t="s">
        <v>460</v>
      </c>
      <c r="C124" s="3" t="s">
        <v>399</v>
      </c>
      <c r="D124" s="3" t="s">
        <v>400</v>
      </c>
      <c r="E124" s="3" t="s">
        <v>63</v>
      </c>
      <c r="F124" s="3" t="s">
        <v>64</v>
      </c>
      <c r="G124" s="3" t="s">
        <v>20</v>
      </c>
      <c r="H124" s="4">
        <v>4</v>
      </c>
      <c r="I124" s="5">
        <v>149.99</v>
      </c>
      <c r="J124" s="3" t="s">
        <v>29</v>
      </c>
      <c r="K124" s="3" t="s">
        <v>47</v>
      </c>
      <c r="L124" s="3" t="s">
        <v>30</v>
      </c>
      <c r="M124" s="3" t="s">
        <v>462</v>
      </c>
      <c r="N124" s="5">
        <v>599.96</v>
      </c>
    </row>
    <row r="125" spans="1:14" ht="15" customHeight="1" x14ac:dyDescent="0.3">
      <c r="A125" s="6" t="s">
        <v>463</v>
      </c>
      <c r="B125" s="6" t="s">
        <v>464</v>
      </c>
      <c r="C125" s="6" t="s">
        <v>349</v>
      </c>
      <c r="D125" s="6" t="s">
        <v>350</v>
      </c>
      <c r="E125" s="6" t="s">
        <v>102</v>
      </c>
      <c r="F125" s="6" t="s">
        <v>103</v>
      </c>
      <c r="G125" s="6" t="s">
        <v>20</v>
      </c>
      <c r="H125" s="7">
        <v>2</v>
      </c>
      <c r="I125" s="8">
        <v>699.99</v>
      </c>
      <c r="J125" s="6" t="s">
        <v>69</v>
      </c>
      <c r="K125" s="6" t="s">
        <v>77</v>
      </c>
      <c r="L125" s="6" t="s">
        <v>30</v>
      </c>
      <c r="M125" s="6" t="s">
        <v>465</v>
      </c>
      <c r="N125" s="8">
        <v>1399.98</v>
      </c>
    </row>
    <row r="126" spans="1:14" ht="15" customHeight="1" x14ac:dyDescent="0.3">
      <c r="A126" s="3" t="s">
        <v>466</v>
      </c>
      <c r="B126" s="3" t="s">
        <v>464</v>
      </c>
      <c r="C126" s="3" t="s">
        <v>394</v>
      </c>
      <c r="D126" s="3" t="s">
        <v>395</v>
      </c>
      <c r="E126" s="3" t="s">
        <v>52</v>
      </c>
      <c r="F126" s="3" t="s">
        <v>53</v>
      </c>
      <c r="G126" s="3" t="s">
        <v>54</v>
      </c>
      <c r="H126" s="4">
        <v>3</v>
      </c>
      <c r="I126" s="5">
        <v>149.99</v>
      </c>
      <c r="J126" s="3" t="s">
        <v>29</v>
      </c>
      <c r="K126" s="3" t="s">
        <v>40</v>
      </c>
      <c r="L126" s="3" t="s">
        <v>41</v>
      </c>
      <c r="M126" s="3" t="s">
        <v>467</v>
      </c>
      <c r="N126" s="5">
        <v>449.97</v>
      </c>
    </row>
    <row r="127" spans="1:14" ht="15" customHeight="1" x14ac:dyDescent="0.3">
      <c r="A127" s="6" t="s">
        <v>468</v>
      </c>
      <c r="B127" s="6" t="s">
        <v>469</v>
      </c>
      <c r="C127" s="6" t="s">
        <v>212</v>
      </c>
      <c r="D127" s="6" t="s">
        <v>213</v>
      </c>
      <c r="E127" s="6" t="s">
        <v>141</v>
      </c>
      <c r="F127" s="6" t="s">
        <v>142</v>
      </c>
      <c r="G127" s="6" t="s">
        <v>54</v>
      </c>
      <c r="H127" s="7">
        <v>3</v>
      </c>
      <c r="I127" s="8">
        <v>299.99</v>
      </c>
      <c r="J127" s="6" t="s">
        <v>29</v>
      </c>
      <c r="K127" s="6" t="s">
        <v>22</v>
      </c>
      <c r="L127" s="6" t="s">
        <v>41</v>
      </c>
      <c r="M127" s="6" t="s">
        <v>470</v>
      </c>
      <c r="N127" s="8">
        <v>899.97</v>
      </c>
    </row>
    <row r="128" spans="1:14" ht="15" customHeight="1" x14ac:dyDescent="0.3">
      <c r="A128" s="3" t="s">
        <v>471</v>
      </c>
      <c r="B128" s="3" t="s">
        <v>472</v>
      </c>
      <c r="C128" s="3" t="s">
        <v>106</v>
      </c>
      <c r="D128" s="3" t="s">
        <v>107</v>
      </c>
      <c r="E128" s="3" t="s">
        <v>75</v>
      </c>
      <c r="F128" s="3" t="s">
        <v>76</v>
      </c>
      <c r="G128" s="3" t="s">
        <v>20</v>
      </c>
      <c r="H128" s="4">
        <v>3</v>
      </c>
      <c r="I128" s="5">
        <v>899.99</v>
      </c>
      <c r="J128" s="3" t="s">
        <v>39</v>
      </c>
      <c r="K128" s="3" t="s">
        <v>60</v>
      </c>
      <c r="L128" s="3" t="s">
        <v>23</v>
      </c>
      <c r="M128" s="3" t="s">
        <v>473</v>
      </c>
      <c r="N128" s="5">
        <v>2699.97</v>
      </c>
    </row>
    <row r="129" spans="1:14" ht="15" customHeight="1" x14ac:dyDescent="0.3">
      <c r="A129" s="6" t="s">
        <v>474</v>
      </c>
      <c r="B129" s="6" t="s">
        <v>475</v>
      </c>
      <c r="C129" s="6" t="s">
        <v>126</v>
      </c>
      <c r="D129" s="6" t="s">
        <v>127</v>
      </c>
      <c r="E129" s="6" t="s">
        <v>102</v>
      </c>
      <c r="F129" s="6" t="s">
        <v>103</v>
      </c>
      <c r="G129" s="6" t="s">
        <v>20</v>
      </c>
      <c r="H129" s="7">
        <v>5</v>
      </c>
      <c r="I129" s="8">
        <v>699.99</v>
      </c>
      <c r="J129" s="6" t="s">
        <v>21</v>
      </c>
      <c r="K129" s="6" t="s">
        <v>77</v>
      </c>
      <c r="L129" s="6" t="s">
        <v>41</v>
      </c>
      <c r="M129" s="6" t="s">
        <v>476</v>
      </c>
      <c r="N129" s="8">
        <v>3499.95</v>
      </c>
    </row>
    <row r="130" spans="1:14" ht="15" customHeight="1" x14ac:dyDescent="0.3">
      <c r="A130" s="3" t="s">
        <v>477</v>
      </c>
      <c r="B130" s="3" t="s">
        <v>475</v>
      </c>
      <c r="C130" s="3" t="s">
        <v>259</v>
      </c>
      <c r="D130" s="3" t="s">
        <v>260</v>
      </c>
      <c r="E130" s="3" t="s">
        <v>102</v>
      </c>
      <c r="F130" s="3" t="s">
        <v>103</v>
      </c>
      <c r="G130" s="3" t="s">
        <v>20</v>
      </c>
      <c r="H130" s="4">
        <v>4</v>
      </c>
      <c r="I130" s="5">
        <v>699.99</v>
      </c>
      <c r="J130" s="3" t="s">
        <v>29</v>
      </c>
      <c r="K130" s="3" t="s">
        <v>22</v>
      </c>
      <c r="L130" s="3" t="s">
        <v>23</v>
      </c>
      <c r="M130" s="3" t="s">
        <v>478</v>
      </c>
      <c r="N130" s="5">
        <v>2799.96</v>
      </c>
    </row>
    <row r="131" spans="1:14" ht="15" customHeight="1" x14ac:dyDescent="0.3">
      <c r="A131" s="6" t="s">
        <v>479</v>
      </c>
      <c r="B131" s="6" t="s">
        <v>475</v>
      </c>
      <c r="C131" s="6" t="s">
        <v>217</v>
      </c>
      <c r="D131" s="6" t="s">
        <v>218</v>
      </c>
      <c r="E131" s="6" t="s">
        <v>75</v>
      </c>
      <c r="F131" s="6" t="s">
        <v>76</v>
      </c>
      <c r="G131" s="6" t="s">
        <v>20</v>
      </c>
      <c r="H131" s="7">
        <v>1</v>
      </c>
      <c r="I131" s="8">
        <v>899.99</v>
      </c>
      <c r="J131" s="6" t="s">
        <v>29</v>
      </c>
      <c r="K131" s="6" t="s">
        <v>77</v>
      </c>
      <c r="L131" s="6" t="s">
        <v>41</v>
      </c>
      <c r="M131" s="6" t="s">
        <v>480</v>
      </c>
      <c r="N131" s="8">
        <v>899.99</v>
      </c>
    </row>
    <row r="132" spans="1:14" ht="15" customHeight="1" x14ac:dyDescent="0.3">
      <c r="A132" s="3" t="s">
        <v>481</v>
      </c>
      <c r="B132" s="3" t="s">
        <v>482</v>
      </c>
      <c r="C132" s="3" t="s">
        <v>385</v>
      </c>
      <c r="D132" s="3" t="s">
        <v>386</v>
      </c>
      <c r="E132" s="3" t="s">
        <v>63</v>
      </c>
      <c r="F132" s="3" t="s">
        <v>64</v>
      </c>
      <c r="G132" s="3" t="s">
        <v>20</v>
      </c>
      <c r="H132" s="4">
        <v>2</v>
      </c>
      <c r="I132" s="5">
        <v>149.99</v>
      </c>
      <c r="J132" s="3" t="s">
        <v>29</v>
      </c>
      <c r="K132" s="3" t="s">
        <v>60</v>
      </c>
      <c r="L132" s="3" t="s">
        <v>23</v>
      </c>
      <c r="M132" s="3" t="s">
        <v>483</v>
      </c>
      <c r="N132" s="5">
        <v>299.98</v>
      </c>
    </row>
    <row r="133" spans="1:14" ht="15" customHeight="1" x14ac:dyDescent="0.3">
      <c r="A133" s="6" t="s">
        <v>484</v>
      </c>
      <c r="B133" s="6" t="s">
        <v>485</v>
      </c>
      <c r="C133" s="6" t="s">
        <v>385</v>
      </c>
      <c r="D133" s="6" t="s">
        <v>386</v>
      </c>
      <c r="E133" s="6" t="s">
        <v>159</v>
      </c>
      <c r="F133" s="6" t="s">
        <v>160</v>
      </c>
      <c r="G133" s="6" t="s">
        <v>20</v>
      </c>
      <c r="H133" s="7">
        <v>3</v>
      </c>
      <c r="I133" s="8">
        <v>89.99</v>
      </c>
      <c r="J133" s="6" t="s">
        <v>39</v>
      </c>
      <c r="K133" s="6" t="s">
        <v>22</v>
      </c>
      <c r="L133" s="6" t="s">
        <v>23</v>
      </c>
      <c r="M133" s="6" t="s">
        <v>486</v>
      </c>
      <c r="N133" s="8">
        <v>269.97000000000003</v>
      </c>
    </row>
    <row r="134" spans="1:14" ht="15" customHeight="1" x14ac:dyDescent="0.3">
      <c r="A134" s="3" t="s">
        <v>487</v>
      </c>
      <c r="B134" s="3" t="s">
        <v>488</v>
      </c>
      <c r="C134" s="3" t="s">
        <v>45</v>
      </c>
      <c r="D134" s="3" t="s">
        <v>46</v>
      </c>
      <c r="E134" s="3" t="s">
        <v>63</v>
      </c>
      <c r="F134" s="3" t="s">
        <v>64</v>
      </c>
      <c r="G134" s="3" t="s">
        <v>20</v>
      </c>
      <c r="H134" s="4">
        <v>2</v>
      </c>
      <c r="I134" s="5">
        <v>149.99</v>
      </c>
      <c r="J134" s="3" t="s">
        <v>39</v>
      </c>
      <c r="K134" s="3" t="s">
        <v>22</v>
      </c>
      <c r="L134" s="3" t="s">
        <v>23</v>
      </c>
      <c r="M134" s="3" t="s">
        <v>489</v>
      </c>
      <c r="N134" s="5">
        <v>299.98</v>
      </c>
    </row>
    <row r="135" spans="1:14" ht="15" customHeight="1" x14ac:dyDescent="0.3">
      <c r="A135" s="6" t="s">
        <v>490</v>
      </c>
      <c r="B135" s="6" t="s">
        <v>488</v>
      </c>
      <c r="C135" s="6" t="s">
        <v>224</v>
      </c>
      <c r="D135" s="6" t="s">
        <v>225</v>
      </c>
      <c r="E135" s="6" t="s">
        <v>102</v>
      </c>
      <c r="F135" s="6" t="s">
        <v>103</v>
      </c>
      <c r="G135" s="6" t="s">
        <v>20</v>
      </c>
      <c r="H135" s="7">
        <v>2</v>
      </c>
      <c r="I135" s="8">
        <v>699.99</v>
      </c>
      <c r="J135" s="6" t="s">
        <v>21</v>
      </c>
      <c r="K135" s="6" t="s">
        <v>22</v>
      </c>
      <c r="L135" s="6" t="s">
        <v>23</v>
      </c>
      <c r="M135" s="6" t="s">
        <v>491</v>
      </c>
      <c r="N135" s="8">
        <v>1399.98</v>
      </c>
    </row>
    <row r="136" spans="1:14" ht="15" customHeight="1" x14ac:dyDescent="0.3">
      <c r="A136" s="3" t="s">
        <v>492</v>
      </c>
      <c r="B136" s="3" t="s">
        <v>493</v>
      </c>
      <c r="C136" s="3" t="s">
        <v>231</v>
      </c>
      <c r="D136" s="3" t="s">
        <v>232</v>
      </c>
      <c r="E136" s="3" t="s">
        <v>102</v>
      </c>
      <c r="F136" s="3" t="s">
        <v>103</v>
      </c>
      <c r="G136" s="3" t="s">
        <v>20</v>
      </c>
      <c r="H136" s="4">
        <v>5</v>
      </c>
      <c r="I136" s="5">
        <v>699.99</v>
      </c>
      <c r="J136" s="3" t="s">
        <v>21</v>
      </c>
      <c r="K136" s="3" t="s">
        <v>47</v>
      </c>
      <c r="L136" s="3" t="s">
        <v>30</v>
      </c>
      <c r="M136" s="3" t="s">
        <v>494</v>
      </c>
      <c r="N136" s="5">
        <v>3499.95</v>
      </c>
    </row>
    <row r="137" spans="1:14" ht="15" customHeight="1" x14ac:dyDescent="0.3">
      <c r="A137" s="6" t="s">
        <v>495</v>
      </c>
      <c r="B137" s="6" t="s">
        <v>496</v>
      </c>
      <c r="C137" s="6" t="s">
        <v>259</v>
      </c>
      <c r="D137" s="6" t="s">
        <v>260</v>
      </c>
      <c r="E137" s="6" t="s">
        <v>159</v>
      </c>
      <c r="F137" s="6" t="s">
        <v>160</v>
      </c>
      <c r="G137" s="6" t="s">
        <v>20</v>
      </c>
      <c r="H137" s="7">
        <v>3</v>
      </c>
      <c r="I137" s="8">
        <v>89.99</v>
      </c>
      <c r="J137" s="6" t="s">
        <v>29</v>
      </c>
      <c r="K137" s="6" t="s">
        <v>47</v>
      </c>
      <c r="L137" s="6" t="s">
        <v>41</v>
      </c>
      <c r="M137" s="6" t="s">
        <v>497</v>
      </c>
      <c r="N137" s="8">
        <v>269.97000000000003</v>
      </c>
    </row>
    <row r="138" spans="1:14" ht="15" customHeight="1" x14ac:dyDescent="0.3">
      <c r="A138" s="3" t="s">
        <v>498</v>
      </c>
      <c r="B138" s="3" t="s">
        <v>499</v>
      </c>
      <c r="C138" s="3" t="s">
        <v>16</v>
      </c>
      <c r="D138" s="3" t="s">
        <v>17</v>
      </c>
      <c r="E138" s="3" t="s">
        <v>18</v>
      </c>
      <c r="F138" s="3" t="s">
        <v>19</v>
      </c>
      <c r="G138" s="3" t="s">
        <v>20</v>
      </c>
      <c r="H138" s="4">
        <v>5</v>
      </c>
      <c r="I138" s="5">
        <v>249.99</v>
      </c>
      <c r="J138" s="3" t="s">
        <v>29</v>
      </c>
      <c r="K138" s="3" t="s">
        <v>40</v>
      </c>
      <c r="L138" s="3" t="s">
        <v>41</v>
      </c>
      <c r="M138" s="3" t="s">
        <v>500</v>
      </c>
      <c r="N138" s="5">
        <v>1249.95</v>
      </c>
    </row>
    <row r="139" spans="1:14" ht="15" customHeight="1" x14ac:dyDescent="0.3">
      <c r="A139" s="6" t="s">
        <v>501</v>
      </c>
      <c r="B139" s="6" t="s">
        <v>502</v>
      </c>
      <c r="C139" s="6" t="s">
        <v>81</v>
      </c>
      <c r="D139" s="6" t="s">
        <v>82</v>
      </c>
      <c r="E139" s="6" t="s">
        <v>141</v>
      </c>
      <c r="F139" s="6" t="s">
        <v>142</v>
      </c>
      <c r="G139" s="6" t="s">
        <v>54</v>
      </c>
      <c r="H139" s="7">
        <v>3</v>
      </c>
      <c r="I139" s="8">
        <v>299.99</v>
      </c>
      <c r="J139" s="6" t="s">
        <v>29</v>
      </c>
      <c r="K139" s="6" t="s">
        <v>40</v>
      </c>
      <c r="L139" s="6" t="s">
        <v>41</v>
      </c>
      <c r="M139" s="6" t="s">
        <v>503</v>
      </c>
      <c r="N139" s="8">
        <v>899.97</v>
      </c>
    </row>
    <row r="140" spans="1:14" ht="15" customHeight="1" x14ac:dyDescent="0.3">
      <c r="A140" s="3" t="s">
        <v>504</v>
      </c>
      <c r="B140" s="3" t="s">
        <v>505</v>
      </c>
      <c r="C140" s="3" t="s">
        <v>131</v>
      </c>
      <c r="D140" s="3" t="s">
        <v>132</v>
      </c>
      <c r="E140" s="3" t="s">
        <v>159</v>
      </c>
      <c r="F140" s="3" t="s">
        <v>160</v>
      </c>
      <c r="G140" s="3" t="s">
        <v>20</v>
      </c>
      <c r="H140" s="4">
        <v>3</v>
      </c>
      <c r="I140" s="5">
        <v>89.99</v>
      </c>
      <c r="J140" s="3" t="s">
        <v>29</v>
      </c>
      <c r="K140" s="3" t="s">
        <v>47</v>
      </c>
      <c r="L140" s="3" t="s">
        <v>30</v>
      </c>
      <c r="M140" s="3" t="s">
        <v>506</v>
      </c>
      <c r="N140" s="5">
        <v>269.97000000000003</v>
      </c>
    </row>
    <row r="141" spans="1:14" ht="15" customHeight="1" x14ac:dyDescent="0.3">
      <c r="A141" s="6" t="s">
        <v>507</v>
      </c>
      <c r="B141" s="6" t="s">
        <v>508</v>
      </c>
      <c r="C141" s="6" t="s">
        <v>115</v>
      </c>
      <c r="D141" s="6" t="s">
        <v>116</v>
      </c>
      <c r="E141" s="6" t="s">
        <v>52</v>
      </c>
      <c r="F141" s="6" t="s">
        <v>53</v>
      </c>
      <c r="G141" s="6" t="s">
        <v>54</v>
      </c>
      <c r="H141" s="7">
        <v>2</v>
      </c>
      <c r="I141" s="8">
        <v>149.99</v>
      </c>
      <c r="J141" s="6" t="s">
        <v>29</v>
      </c>
      <c r="K141" s="6" t="s">
        <v>60</v>
      </c>
      <c r="L141" s="6" t="s">
        <v>30</v>
      </c>
      <c r="M141" s="6" t="s">
        <v>509</v>
      </c>
      <c r="N141" s="8">
        <v>299.98</v>
      </c>
    </row>
    <row r="142" spans="1:14" ht="15" customHeight="1" x14ac:dyDescent="0.3">
      <c r="A142" s="3" t="s">
        <v>510</v>
      </c>
      <c r="B142" s="3" t="s">
        <v>511</v>
      </c>
      <c r="C142" s="3" t="s">
        <v>290</v>
      </c>
      <c r="D142" s="3" t="s">
        <v>291</v>
      </c>
      <c r="E142" s="3" t="s">
        <v>18</v>
      </c>
      <c r="F142" s="3" t="s">
        <v>19</v>
      </c>
      <c r="G142" s="3" t="s">
        <v>20</v>
      </c>
      <c r="H142" s="4">
        <v>1</v>
      </c>
      <c r="I142" s="5">
        <v>249.99</v>
      </c>
      <c r="J142" s="3" t="s">
        <v>29</v>
      </c>
      <c r="K142" s="3" t="s">
        <v>47</v>
      </c>
      <c r="L142" s="3" t="s">
        <v>30</v>
      </c>
      <c r="M142" s="3" t="s">
        <v>512</v>
      </c>
      <c r="N142" s="5">
        <v>249.99</v>
      </c>
    </row>
    <row r="143" spans="1:14" ht="15" customHeight="1" x14ac:dyDescent="0.3">
      <c r="A143" s="6" t="s">
        <v>513</v>
      </c>
      <c r="B143" s="6" t="s">
        <v>514</v>
      </c>
      <c r="C143" s="6" t="s">
        <v>91</v>
      </c>
      <c r="D143" s="6" t="s">
        <v>92</v>
      </c>
      <c r="E143" s="6" t="s">
        <v>63</v>
      </c>
      <c r="F143" s="6" t="s">
        <v>64</v>
      </c>
      <c r="G143" s="6" t="s">
        <v>20</v>
      </c>
      <c r="H143" s="7">
        <v>3</v>
      </c>
      <c r="I143" s="8">
        <v>149.99</v>
      </c>
      <c r="J143" s="6" t="s">
        <v>21</v>
      </c>
      <c r="K143" s="6" t="s">
        <v>47</v>
      </c>
      <c r="L143" s="6" t="s">
        <v>23</v>
      </c>
      <c r="M143" s="6" t="s">
        <v>515</v>
      </c>
      <c r="N143" s="8">
        <v>449.97</v>
      </c>
    </row>
    <row r="144" spans="1:14" ht="15" customHeight="1" x14ac:dyDescent="0.3">
      <c r="A144" s="3" t="s">
        <v>516</v>
      </c>
      <c r="B144" s="3" t="s">
        <v>514</v>
      </c>
      <c r="C144" s="3" t="s">
        <v>16</v>
      </c>
      <c r="D144" s="3" t="s">
        <v>17</v>
      </c>
      <c r="E144" s="3" t="s">
        <v>36</v>
      </c>
      <c r="F144" s="3" t="s">
        <v>37</v>
      </c>
      <c r="G144" s="3" t="s">
        <v>38</v>
      </c>
      <c r="H144" s="4">
        <v>5</v>
      </c>
      <c r="I144" s="5">
        <v>59.99</v>
      </c>
      <c r="J144" s="3" t="s">
        <v>39</v>
      </c>
      <c r="K144" s="3" t="s">
        <v>60</v>
      </c>
      <c r="L144" s="3" t="s">
        <v>30</v>
      </c>
      <c r="M144" s="3" t="s">
        <v>517</v>
      </c>
      <c r="N144" s="5">
        <v>299.95</v>
      </c>
    </row>
    <row r="145" spans="1:14" ht="15" customHeight="1" x14ac:dyDescent="0.3">
      <c r="A145" s="6" t="s">
        <v>518</v>
      </c>
      <c r="B145" s="6" t="s">
        <v>514</v>
      </c>
      <c r="C145" s="6" t="s">
        <v>131</v>
      </c>
      <c r="D145" s="6" t="s">
        <v>132</v>
      </c>
      <c r="E145" s="6" t="s">
        <v>18</v>
      </c>
      <c r="F145" s="6" t="s">
        <v>19</v>
      </c>
      <c r="G145" s="6" t="s">
        <v>20</v>
      </c>
      <c r="H145" s="7">
        <v>4</v>
      </c>
      <c r="I145" s="8">
        <v>249.99</v>
      </c>
      <c r="J145" s="6" t="s">
        <v>29</v>
      </c>
      <c r="K145" s="6" t="s">
        <v>60</v>
      </c>
      <c r="L145" s="6" t="s">
        <v>41</v>
      </c>
      <c r="M145" s="6" t="s">
        <v>519</v>
      </c>
      <c r="N145" s="8">
        <v>999.96</v>
      </c>
    </row>
    <row r="146" spans="1:14" ht="15" customHeight="1" x14ac:dyDescent="0.3">
      <c r="A146" s="3" t="s">
        <v>520</v>
      </c>
      <c r="B146" s="3" t="s">
        <v>521</v>
      </c>
      <c r="C146" s="3" t="s">
        <v>224</v>
      </c>
      <c r="D146" s="3" t="s">
        <v>225</v>
      </c>
      <c r="E146" s="3" t="s">
        <v>52</v>
      </c>
      <c r="F146" s="3" t="s">
        <v>53</v>
      </c>
      <c r="G146" s="3" t="s">
        <v>54</v>
      </c>
      <c r="H146" s="4">
        <v>5</v>
      </c>
      <c r="I146" s="5">
        <v>149.99</v>
      </c>
      <c r="J146" s="3" t="s">
        <v>39</v>
      </c>
      <c r="K146" s="3" t="s">
        <v>22</v>
      </c>
      <c r="L146" s="3" t="s">
        <v>23</v>
      </c>
      <c r="M146" s="3" t="s">
        <v>522</v>
      </c>
      <c r="N146" s="5">
        <v>749.95</v>
      </c>
    </row>
    <row r="147" spans="1:14" ht="15" customHeight="1" x14ac:dyDescent="0.3">
      <c r="A147" s="6" t="s">
        <v>523</v>
      </c>
      <c r="B147" s="6" t="s">
        <v>521</v>
      </c>
      <c r="C147" s="6" t="s">
        <v>106</v>
      </c>
      <c r="D147" s="6" t="s">
        <v>107</v>
      </c>
      <c r="E147" s="6" t="s">
        <v>36</v>
      </c>
      <c r="F147" s="6" t="s">
        <v>37</v>
      </c>
      <c r="G147" s="6" t="s">
        <v>38</v>
      </c>
      <c r="H147" s="7">
        <v>3</v>
      </c>
      <c r="I147" s="8">
        <v>59.99</v>
      </c>
      <c r="J147" s="6" t="s">
        <v>69</v>
      </c>
      <c r="K147" s="6" t="s">
        <v>40</v>
      </c>
      <c r="L147" s="6" t="s">
        <v>41</v>
      </c>
      <c r="M147" s="6" t="s">
        <v>524</v>
      </c>
      <c r="N147" s="8">
        <v>179.97</v>
      </c>
    </row>
    <row r="148" spans="1:14" ht="15" customHeight="1" x14ac:dyDescent="0.3">
      <c r="A148" s="3" t="s">
        <v>525</v>
      </c>
      <c r="B148" s="3" t="s">
        <v>526</v>
      </c>
      <c r="C148" s="3" t="s">
        <v>399</v>
      </c>
      <c r="D148" s="3" t="s">
        <v>400</v>
      </c>
      <c r="E148" s="3" t="s">
        <v>52</v>
      </c>
      <c r="F148" s="3" t="s">
        <v>53</v>
      </c>
      <c r="G148" s="3" t="s">
        <v>54</v>
      </c>
      <c r="H148" s="4">
        <v>5</v>
      </c>
      <c r="I148" s="5">
        <v>149.99</v>
      </c>
      <c r="J148" s="3" t="s">
        <v>21</v>
      </c>
      <c r="K148" s="3" t="s">
        <v>47</v>
      </c>
      <c r="L148" s="3" t="s">
        <v>23</v>
      </c>
      <c r="M148" s="3" t="s">
        <v>527</v>
      </c>
      <c r="N148" s="5">
        <v>749.95</v>
      </c>
    </row>
    <row r="149" spans="1:14" ht="15" customHeight="1" x14ac:dyDescent="0.3">
      <c r="A149" s="6" t="s">
        <v>528</v>
      </c>
      <c r="B149" s="6" t="s">
        <v>526</v>
      </c>
      <c r="C149" s="6" t="s">
        <v>111</v>
      </c>
      <c r="D149" s="6" t="s">
        <v>112</v>
      </c>
      <c r="E149" s="6" t="s">
        <v>102</v>
      </c>
      <c r="F149" s="6" t="s">
        <v>103</v>
      </c>
      <c r="G149" s="6" t="s">
        <v>20</v>
      </c>
      <c r="H149" s="7">
        <v>2</v>
      </c>
      <c r="I149" s="8">
        <v>699.99</v>
      </c>
      <c r="J149" s="6" t="s">
        <v>39</v>
      </c>
      <c r="K149" s="6" t="s">
        <v>60</v>
      </c>
      <c r="L149" s="6" t="s">
        <v>41</v>
      </c>
      <c r="M149" s="6" t="s">
        <v>529</v>
      </c>
      <c r="N149" s="8">
        <v>1399.98</v>
      </c>
    </row>
    <row r="150" spans="1:14" ht="15" customHeight="1" x14ac:dyDescent="0.3">
      <c r="A150" s="3" t="s">
        <v>530</v>
      </c>
      <c r="B150" s="3" t="s">
        <v>531</v>
      </c>
      <c r="C150" s="3" t="s">
        <v>169</v>
      </c>
      <c r="D150" s="3" t="s">
        <v>170</v>
      </c>
      <c r="E150" s="3" t="s">
        <v>173</v>
      </c>
      <c r="F150" s="3" t="s">
        <v>174</v>
      </c>
      <c r="G150" s="3" t="s">
        <v>54</v>
      </c>
      <c r="H150" s="4">
        <v>4</v>
      </c>
      <c r="I150" s="5">
        <v>199.99</v>
      </c>
      <c r="J150" s="3" t="s">
        <v>69</v>
      </c>
      <c r="K150" s="3" t="s">
        <v>22</v>
      </c>
      <c r="L150" s="3" t="s">
        <v>30</v>
      </c>
      <c r="M150" s="3" t="s">
        <v>532</v>
      </c>
      <c r="N150" s="5">
        <v>799.96</v>
      </c>
    </row>
    <row r="151" spans="1:14" ht="15" customHeight="1" x14ac:dyDescent="0.3">
      <c r="A151" s="6" t="s">
        <v>533</v>
      </c>
      <c r="B151" s="6" t="s">
        <v>534</v>
      </c>
      <c r="C151" s="6" t="s">
        <v>304</v>
      </c>
      <c r="D151" s="6" t="s">
        <v>305</v>
      </c>
      <c r="E151" s="6" t="s">
        <v>36</v>
      </c>
      <c r="F151" s="6" t="s">
        <v>37</v>
      </c>
      <c r="G151" s="6" t="s">
        <v>38</v>
      </c>
      <c r="H151" s="7">
        <v>1</v>
      </c>
      <c r="I151" s="8">
        <v>59.99</v>
      </c>
      <c r="J151" s="6" t="s">
        <v>69</v>
      </c>
      <c r="K151" s="6" t="s">
        <v>60</v>
      </c>
      <c r="L151" s="6" t="s">
        <v>41</v>
      </c>
      <c r="M151" s="6" t="s">
        <v>535</v>
      </c>
      <c r="N151" s="8">
        <v>59.99</v>
      </c>
    </row>
    <row r="152" spans="1:14" ht="15" customHeight="1" x14ac:dyDescent="0.3">
      <c r="A152" s="3" t="s">
        <v>536</v>
      </c>
      <c r="B152" s="3" t="s">
        <v>534</v>
      </c>
      <c r="C152" s="3" t="s">
        <v>224</v>
      </c>
      <c r="D152" s="3" t="s">
        <v>225</v>
      </c>
      <c r="E152" s="3" t="s">
        <v>102</v>
      </c>
      <c r="F152" s="3" t="s">
        <v>103</v>
      </c>
      <c r="G152" s="3" t="s">
        <v>20</v>
      </c>
      <c r="H152" s="4">
        <v>3</v>
      </c>
      <c r="I152" s="5">
        <v>699.99</v>
      </c>
      <c r="J152" s="3" t="s">
        <v>39</v>
      </c>
      <c r="K152" s="3" t="s">
        <v>60</v>
      </c>
      <c r="L152" s="3" t="s">
        <v>41</v>
      </c>
      <c r="M152" s="3" t="s">
        <v>537</v>
      </c>
      <c r="N152" s="5">
        <v>2099.9699999999998</v>
      </c>
    </row>
    <row r="153" spans="1:14" ht="15" customHeight="1" x14ac:dyDescent="0.3">
      <c r="A153" s="6" t="s">
        <v>538</v>
      </c>
      <c r="B153" s="6" t="s">
        <v>539</v>
      </c>
      <c r="C153" s="6" t="s">
        <v>540</v>
      </c>
      <c r="D153" s="6" t="s">
        <v>541</v>
      </c>
      <c r="E153" s="6" t="s">
        <v>18</v>
      </c>
      <c r="F153" s="6" t="s">
        <v>19</v>
      </c>
      <c r="G153" s="6" t="s">
        <v>20</v>
      </c>
      <c r="H153" s="7">
        <v>5</v>
      </c>
      <c r="I153" s="8">
        <v>249.99</v>
      </c>
      <c r="J153" s="6" t="s">
        <v>29</v>
      </c>
      <c r="K153" s="6" t="s">
        <v>47</v>
      </c>
      <c r="L153" s="6" t="s">
        <v>23</v>
      </c>
      <c r="M153" s="6" t="s">
        <v>542</v>
      </c>
      <c r="N153" s="8">
        <v>1249.95</v>
      </c>
    </row>
    <row r="154" spans="1:14" ht="15" customHeight="1" x14ac:dyDescent="0.3">
      <c r="A154" s="3" t="s">
        <v>543</v>
      </c>
      <c r="B154" s="3" t="s">
        <v>544</v>
      </c>
      <c r="C154" s="3" t="s">
        <v>153</v>
      </c>
      <c r="D154" s="3" t="s">
        <v>154</v>
      </c>
      <c r="E154" s="3" t="s">
        <v>52</v>
      </c>
      <c r="F154" s="3" t="s">
        <v>53</v>
      </c>
      <c r="G154" s="3" t="s">
        <v>54</v>
      </c>
      <c r="H154" s="4">
        <v>2</v>
      </c>
      <c r="I154" s="5">
        <v>149.99</v>
      </c>
      <c r="J154" s="3" t="s">
        <v>21</v>
      </c>
      <c r="K154" s="3" t="s">
        <v>40</v>
      </c>
      <c r="L154" s="3" t="s">
        <v>41</v>
      </c>
      <c r="M154" s="3" t="s">
        <v>545</v>
      </c>
      <c r="N154" s="5">
        <v>299.98</v>
      </c>
    </row>
    <row r="155" spans="1:14" ht="15" customHeight="1" x14ac:dyDescent="0.3">
      <c r="A155" s="6" t="s">
        <v>546</v>
      </c>
      <c r="B155" s="6" t="s">
        <v>547</v>
      </c>
      <c r="C155" s="6" t="s">
        <v>34</v>
      </c>
      <c r="D155" s="6" t="s">
        <v>35</v>
      </c>
      <c r="E155" s="6" t="s">
        <v>141</v>
      </c>
      <c r="F155" s="6" t="s">
        <v>142</v>
      </c>
      <c r="G155" s="6" t="s">
        <v>54</v>
      </c>
      <c r="H155" s="7">
        <v>3</v>
      </c>
      <c r="I155" s="8">
        <v>299.99</v>
      </c>
      <c r="J155" s="6" t="s">
        <v>21</v>
      </c>
      <c r="K155" s="6" t="s">
        <v>40</v>
      </c>
      <c r="L155" s="6" t="s">
        <v>30</v>
      </c>
      <c r="M155" s="6" t="s">
        <v>519</v>
      </c>
      <c r="N155" s="8">
        <v>899.97</v>
      </c>
    </row>
    <row r="156" spans="1:14" ht="15" customHeight="1" x14ac:dyDescent="0.3">
      <c r="A156" s="3" t="s">
        <v>548</v>
      </c>
      <c r="B156" s="3" t="s">
        <v>547</v>
      </c>
      <c r="C156" s="3" t="s">
        <v>67</v>
      </c>
      <c r="D156" s="3" t="s">
        <v>68</v>
      </c>
      <c r="E156" s="3" t="s">
        <v>18</v>
      </c>
      <c r="F156" s="3" t="s">
        <v>19</v>
      </c>
      <c r="G156" s="3" t="s">
        <v>20</v>
      </c>
      <c r="H156" s="4">
        <v>5</v>
      </c>
      <c r="I156" s="5">
        <v>249.99</v>
      </c>
      <c r="J156" s="3" t="s">
        <v>21</v>
      </c>
      <c r="K156" s="3" t="s">
        <v>22</v>
      </c>
      <c r="L156" s="3" t="s">
        <v>30</v>
      </c>
      <c r="M156" s="3" t="s">
        <v>549</v>
      </c>
      <c r="N156" s="5">
        <v>1249.95</v>
      </c>
    </row>
    <row r="157" spans="1:14" ht="15" customHeight="1" x14ac:dyDescent="0.3">
      <c r="A157" s="6" t="s">
        <v>550</v>
      </c>
      <c r="B157" s="6" t="s">
        <v>547</v>
      </c>
      <c r="C157" s="6" t="s">
        <v>27</v>
      </c>
      <c r="D157" s="6" t="s">
        <v>28</v>
      </c>
      <c r="E157" s="6" t="s">
        <v>63</v>
      </c>
      <c r="F157" s="6" t="s">
        <v>64</v>
      </c>
      <c r="G157" s="6" t="s">
        <v>20</v>
      </c>
      <c r="H157" s="7">
        <v>2</v>
      </c>
      <c r="I157" s="8">
        <v>149.99</v>
      </c>
      <c r="J157" s="6" t="s">
        <v>21</v>
      </c>
      <c r="K157" s="6" t="s">
        <v>40</v>
      </c>
      <c r="L157" s="6" t="s">
        <v>30</v>
      </c>
      <c r="M157" s="6" t="s">
        <v>551</v>
      </c>
      <c r="N157" s="8">
        <v>299.98</v>
      </c>
    </row>
    <row r="158" spans="1:14" ht="15" customHeight="1" x14ac:dyDescent="0.3">
      <c r="A158" s="3" t="s">
        <v>552</v>
      </c>
      <c r="B158" s="3" t="s">
        <v>547</v>
      </c>
      <c r="C158" s="3" t="s">
        <v>111</v>
      </c>
      <c r="D158" s="3" t="s">
        <v>112</v>
      </c>
      <c r="E158" s="3" t="s">
        <v>102</v>
      </c>
      <c r="F158" s="3" t="s">
        <v>103</v>
      </c>
      <c r="G158" s="3" t="s">
        <v>20</v>
      </c>
      <c r="H158" s="4">
        <v>5</v>
      </c>
      <c r="I158" s="5">
        <v>699.99</v>
      </c>
      <c r="J158" s="3" t="s">
        <v>69</v>
      </c>
      <c r="K158" s="3" t="s">
        <v>60</v>
      </c>
      <c r="L158" s="3" t="s">
        <v>41</v>
      </c>
      <c r="M158" s="3" t="s">
        <v>553</v>
      </c>
      <c r="N158" s="5">
        <v>3499.95</v>
      </c>
    </row>
    <row r="159" spans="1:14" ht="15" customHeight="1" x14ac:dyDescent="0.3">
      <c r="A159" s="6" t="s">
        <v>554</v>
      </c>
      <c r="B159" s="6" t="s">
        <v>555</v>
      </c>
      <c r="C159" s="6" t="s">
        <v>437</v>
      </c>
      <c r="D159" s="6" t="s">
        <v>438</v>
      </c>
      <c r="E159" s="6" t="s">
        <v>18</v>
      </c>
      <c r="F159" s="6" t="s">
        <v>19</v>
      </c>
      <c r="G159" s="6" t="s">
        <v>20</v>
      </c>
      <c r="H159" s="7">
        <v>4</v>
      </c>
      <c r="I159" s="8">
        <v>249.99</v>
      </c>
      <c r="J159" s="6" t="s">
        <v>39</v>
      </c>
      <c r="K159" s="6" t="s">
        <v>77</v>
      </c>
      <c r="L159" s="6" t="s">
        <v>30</v>
      </c>
      <c r="M159" s="6" t="s">
        <v>556</v>
      </c>
      <c r="N159" s="8">
        <v>999.96</v>
      </c>
    </row>
    <row r="160" spans="1:14" ht="15" customHeight="1" x14ac:dyDescent="0.3">
      <c r="A160" s="3" t="s">
        <v>557</v>
      </c>
      <c r="B160" s="3" t="s">
        <v>558</v>
      </c>
      <c r="C160" s="3" t="s">
        <v>58</v>
      </c>
      <c r="D160" s="3" t="s">
        <v>59</v>
      </c>
      <c r="E160" s="3" t="s">
        <v>102</v>
      </c>
      <c r="F160" s="3" t="s">
        <v>103</v>
      </c>
      <c r="G160" s="3" t="s">
        <v>20</v>
      </c>
      <c r="H160" s="4">
        <v>4</v>
      </c>
      <c r="I160" s="5">
        <v>699.99</v>
      </c>
      <c r="J160" s="3" t="s">
        <v>29</v>
      </c>
      <c r="K160" s="3" t="s">
        <v>47</v>
      </c>
      <c r="L160" s="3" t="s">
        <v>30</v>
      </c>
      <c r="M160" s="3" t="s">
        <v>559</v>
      </c>
      <c r="N160" s="5">
        <v>2799.96</v>
      </c>
    </row>
    <row r="161" spans="1:14" ht="15" customHeight="1" x14ac:dyDescent="0.3">
      <c r="A161" s="6" t="s">
        <v>560</v>
      </c>
      <c r="B161" s="6" t="s">
        <v>561</v>
      </c>
      <c r="C161" s="6" t="s">
        <v>146</v>
      </c>
      <c r="D161" s="6" t="s">
        <v>147</v>
      </c>
      <c r="E161" s="6" t="s">
        <v>18</v>
      </c>
      <c r="F161" s="6" t="s">
        <v>19</v>
      </c>
      <c r="G161" s="6" t="s">
        <v>20</v>
      </c>
      <c r="H161" s="7">
        <v>2</v>
      </c>
      <c r="I161" s="8">
        <v>249.99</v>
      </c>
      <c r="J161" s="6" t="s">
        <v>29</v>
      </c>
      <c r="K161" s="6" t="s">
        <v>22</v>
      </c>
      <c r="L161" s="6" t="s">
        <v>30</v>
      </c>
      <c r="M161" s="6" t="s">
        <v>562</v>
      </c>
      <c r="N161" s="8">
        <v>499.98</v>
      </c>
    </row>
    <row r="162" spans="1:14" ht="15" customHeight="1" x14ac:dyDescent="0.3">
      <c r="A162" s="3" t="s">
        <v>563</v>
      </c>
      <c r="B162" s="3" t="s">
        <v>561</v>
      </c>
      <c r="C162" s="3" t="s">
        <v>564</v>
      </c>
      <c r="D162" s="3" t="s">
        <v>565</v>
      </c>
      <c r="E162" s="3" t="s">
        <v>36</v>
      </c>
      <c r="F162" s="3" t="s">
        <v>37</v>
      </c>
      <c r="G162" s="3" t="s">
        <v>38</v>
      </c>
      <c r="H162" s="4">
        <v>3</v>
      </c>
      <c r="I162" s="5">
        <v>59.99</v>
      </c>
      <c r="J162" s="3" t="s">
        <v>21</v>
      </c>
      <c r="K162" s="3" t="s">
        <v>22</v>
      </c>
      <c r="L162" s="3" t="s">
        <v>30</v>
      </c>
      <c r="M162" s="3" t="s">
        <v>566</v>
      </c>
      <c r="N162" s="5">
        <v>179.97</v>
      </c>
    </row>
    <row r="163" spans="1:14" ht="15" customHeight="1" x14ac:dyDescent="0.3">
      <c r="A163" s="6" t="s">
        <v>567</v>
      </c>
      <c r="B163" s="6" t="s">
        <v>561</v>
      </c>
      <c r="C163" s="6" t="s">
        <v>202</v>
      </c>
      <c r="D163" s="6" t="s">
        <v>203</v>
      </c>
      <c r="E163" s="6" t="s">
        <v>155</v>
      </c>
      <c r="F163" s="6" t="s">
        <v>156</v>
      </c>
      <c r="G163" s="6" t="s">
        <v>38</v>
      </c>
      <c r="H163" s="7">
        <v>4</v>
      </c>
      <c r="I163" s="8">
        <v>79.989999999999995</v>
      </c>
      <c r="J163" s="6" t="s">
        <v>69</v>
      </c>
      <c r="K163" s="6" t="s">
        <v>77</v>
      </c>
      <c r="L163" s="6" t="s">
        <v>41</v>
      </c>
      <c r="M163" s="6" t="s">
        <v>568</v>
      </c>
      <c r="N163" s="8">
        <v>319.95999999999998</v>
      </c>
    </row>
    <row r="164" spans="1:14" ht="15" customHeight="1" x14ac:dyDescent="0.3">
      <c r="A164" s="3" t="s">
        <v>569</v>
      </c>
      <c r="B164" s="3" t="s">
        <v>570</v>
      </c>
      <c r="C164" s="3" t="s">
        <v>164</v>
      </c>
      <c r="D164" s="3" t="s">
        <v>165</v>
      </c>
      <c r="E164" s="3" t="s">
        <v>155</v>
      </c>
      <c r="F164" s="3" t="s">
        <v>156</v>
      </c>
      <c r="G164" s="3" t="s">
        <v>38</v>
      </c>
      <c r="H164" s="4">
        <v>3</v>
      </c>
      <c r="I164" s="5">
        <v>79.989999999999995</v>
      </c>
      <c r="J164" s="3" t="s">
        <v>69</v>
      </c>
      <c r="K164" s="3" t="s">
        <v>77</v>
      </c>
      <c r="L164" s="3" t="s">
        <v>41</v>
      </c>
      <c r="M164" s="3" t="s">
        <v>387</v>
      </c>
      <c r="N164" s="5">
        <v>239.97</v>
      </c>
    </row>
    <row r="165" spans="1:14" ht="15" customHeight="1" x14ac:dyDescent="0.3">
      <c r="A165" s="6" t="s">
        <v>571</v>
      </c>
      <c r="B165" s="6" t="s">
        <v>572</v>
      </c>
      <c r="C165" s="6" t="s">
        <v>91</v>
      </c>
      <c r="D165" s="6" t="s">
        <v>92</v>
      </c>
      <c r="E165" s="6" t="s">
        <v>75</v>
      </c>
      <c r="F165" s="6" t="s">
        <v>76</v>
      </c>
      <c r="G165" s="6" t="s">
        <v>20</v>
      </c>
      <c r="H165" s="7">
        <v>2</v>
      </c>
      <c r="I165" s="8">
        <v>899.99</v>
      </c>
      <c r="J165" s="6" t="s">
        <v>21</v>
      </c>
      <c r="K165" s="6" t="s">
        <v>47</v>
      </c>
      <c r="L165" s="6" t="s">
        <v>23</v>
      </c>
      <c r="M165" s="6" t="s">
        <v>573</v>
      </c>
      <c r="N165" s="8">
        <v>1799.98</v>
      </c>
    </row>
    <row r="166" spans="1:14" ht="15" customHeight="1" x14ac:dyDescent="0.3">
      <c r="A166" s="3" t="s">
        <v>574</v>
      </c>
      <c r="B166" s="3" t="s">
        <v>575</v>
      </c>
      <c r="C166" s="3" t="s">
        <v>285</v>
      </c>
      <c r="D166" s="3" t="s">
        <v>286</v>
      </c>
      <c r="E166" s="3" t="s">
        <v>52</v>
      </c>
      <c r="F166" s="3" t="s">
        <v>53</v>
      </c>
      <c r="G166" s="3" t="s">
        <v>54</v>
      </c>
      <c r="H166" s="4">
        <v>1</v>
      </c>
      <c r="I166" s="5">
        <v>149.99</v>
      </c>
      <c r="J166" s="3" t="s">
        <v>69</v>
      </c>
      <c r="K166" s="3" t="s">
        <v>77</v>
      </c>
      <c r="L166" s="3" t="s">
        <v>41</v>
      </c>
      <c r="M166" s="3" t="s">
        <v>576</v>
      </c>
      <c r="N166" s="5">
        <v>149.99</v>
      </c>
    </row>
    <row r="167" spans="1:14" ht="15" customHeight="1" x14ac:dyDescent="0.3">
      <c r="A167" s="6" t="s">
        <v>577</v>
      </c>
      <c r="B167" s="6" t="s">
        <v>575</v>
      </c>
      <c r="C167" s="6" t="s">
        <v>197</v>
      </c>
      <c r="D167" s="6" t="s">
        <v>198</v>
      </c>
      <c r="E167" s="6" t="s">
        <v>141</v>
      </c>
      <c r="F167" s="6" t="s">
        <v>142</v>
      </c>
      <c r="G167" s="6" t="s">
        <v>54</v>
      </c>
      <c r="H167" s="7">
        <v>2</v>
      </c>
      <c r="I167" s="8">
        <v>299.99</v>
      </c>
      <c r="J167" s="6" t="s">
        <v>21</v>
      </c>
      <c r="K167" s="6" t="s">
        <v>77</v>
      </c>
      <c r="L167" s="6" t="s">
        <v>30</v>
      </c>
      <c r="M167" s="6" t="s">
        <v>578</v>
      </c>
      <c r="N167" s="8">
        <v>599.98</v>
      </c>
    </row>
    <row r="168" spans="1:14" ht="15" customHeight="1" x14ac:dyDescent="0.3">
      <c r="A168" s="3" t="s">
        <v>579</v>
      </c>
      <c r="B168" s="3" t="s">
        <v>580</v>
      </c>
      <c r="C168" s="3" t="s">
        <v>183</v>
      </c>
      <c r="D168" s="3" t="s">
        <v>184</v>
      </c>
      <c r="E168" s="3" t="s">
        <v>36</v>
      </c>
      <c r="F168" s="3" t="s">
        <v>37</v>
      </c>
      <c r="G168" s="3" t="s">
        <v>38</v>
      </c>
      <c r="H168" s="4">
        <v>2</v>
      </c>
      <c r="I168" s="5">
        <v>59.99</v>
      </c>
      <c r="J168" s="3" t="s">
        <v>21</v>
      </c>
      <c r="K168" s="3" t="s">
        <v>60</v>
      </c>
      <c r="L168" s="3" t="s">
        <v>23</v>
      </c>
      <c r="M168" s="3" t="s">
        <v>581</v>
      </c>
      <c r="N168" s="5">
        <v>119.98</v>
      </c>
    </row>
    <row r="169" spans="1:14" ht="15" customHeight="1" x14ac:dyDescent="0.3">
      <c r="A169" s="6" t="s">
        <v>582</v>
      </c>
      <c r="B169" s="6" t="s">
        <v>583</v>
      </c>
      <c r="C169" s="6" t="s">
        <v>285</v>
      </c>
      <c r="D169" s="6" t="s">
        <v>286</v>
      </c>
      <c r="E169" s="6" t="s">
        <v>159</v>
      </c>
      <c r="F169" s="6" t="s">
        <v>160</v>
      </c>
      <c r="G169" s="6" t="s">
        <v>20</v>
      </c>
      <c r="H169" s="7">
        <v>1</v>
      </c>
      <c r="I169" s="8">
        <v>89.99</v>
      </c>
      <c r="J169" s="6" t="s">
        <v>69</v>
      </c>
      <c r="K169" s="6" t="s">
        <v>22</v>
      </c>
      <c r="L169" s="6" t="s">
        <v>41</v>
      </c>
      <c r="M169" s="6" t="s">
        <v>584</v>
      </c>
      <c r="N169" s="8">
        <v>89.99</v>
      </c>
    </row>
    <row r="170" spans="1:14" ht="15" customHeight="1" x14ac:dyDescent="0.3">
      <c r="A170" s="3" t="s">
        <v>585</v>
      </c>
      <c r="B170" s="3" t="s">
        <v>583</v>
      </c>
      <c r="C170" s="3" t="s">
        <v>212</v>
      </c>
      <c r="D170" s="3" t="s">
        <v>213</v>
      </c>
      <c r="E170" s="3" t="s">
        <v>75</v>
      </c>
      <c r="F170" s="3" t="s">
        <v>76</v>
      </c>
      <c r="G170" s="3" t="s">
        <v>20</v>
      </c>
      <c r="H170" s="4">
        <v>5</v>
      </c>
      <c r="I170" s="5">
        <v>899.99</v>
      </c>
      <c r="J170" s="3" t="s">
        <v>69</v>
      </c>
      <c r="K170" s="3" t="s">
        <v>77</v>
      </c>
      <c r="L170" s="3" t="s">
        <v>41</v>
      </c>
      <c r="M170" s="3" t="s">
        <v>586</v>
      </c>
      <c r="N170" s="5">
        <v>4499.95</v>
      </c>
    </row>
    <row r="171" spans="1:14" ht="15" customHeight="1" x14ac:dyDescent="0.3">
      <c r="A171" s="6" t="s">
        <v>587</v>
      </c>
      <c r="B171" s="6" t="s">
        <v>588</v>
      </c>
      <c r="C171" s="6" t="s">
        <v>50</v>
      </c>
      <c r="D171" s="6" t="s">
        <v>51</v>
      </c>
      <c r="E171" s="6" t="s">
        <v>52</v>
      </c>
      <c r="F171" s="6" t="s">
        <v>53</v>
      </c>
      <c r="G171" s="6" t="s">
        <v>54</v>
      </c>
      <c r="H171" s="7">
        <v>2</v>
      </c>
      <c r="I171" s="8">
        <v>149.99</v>
      </c>
      <c r="J171" s="6" t="s">
        <v>21</v>
      </c>
      <c r="K171" s="6" t="s">
        <v>40</v>
      </c>
      <c r="L171" s="6" t="s">
        <v>23</v>
      </c>
      <c r="M171" s="6" t="s">
        <v>589</v>
      </c>
      <c r="N171" s="8">
        <v>299.98</v>
      </c>
    </row>
    <row r="172" spans="1:14" ht="15" customHeight="1" x14ac:dyDescent="0.3">
      <c r="A172" s="3" t="s">
        <v>590</v>
      </c>
      <c r="B172" s="3" t="s">
        <v>591</v>
      </c>
      <c r="C172" s="3" t="s">
        <v>153</v>
      </c>
      <c r="D172" s="3" t="s">
        <v>154</v>
      </c>
      <c r="E172" s="3" t="s">
        <v>63</v>
      </c>
      <c r="F172" s="3" t="s">
        <v>64</v>
      </c>
      <c r="G172" s="3" t="s">
        <v>20</v>
      </c>
      <c r="H172" s="4">
        <v>2</v>
      </c>
      <c r="I172" s="5">
        <v>149.99</v>
      </c>
      <c r="J172" s="3" t="s">
        <v>69</v>
      </c>
      <c r="K172" s="3" t="s">
        <v>60</v>
      </c>
      <c r="L172" s="3" t="s">
        <v>30</v>
      </c>
      <c r="M172" s="3" t="s">
        <v>592</v>
      </c>
      <c r="N172" s="5">
        <v>299.98</v>
      </c>
    </row>
    <row r="173" spans="1:14" ht="15" customHeight="1" x14ac:dyDescent="0.3">
      <c r="A173" s="6" t="s">
        <v>593</v>
      </c>
      <c r="B173" s="6" t="s">
        <v>591</v>
      </c>
      <c r="C173" s="6" t="s">
        <v>285</v>
      </c>
      <c r="D173" s="6" t="s">
        <v>286</v>
      </c>
      <c r="E173" s="6" t="s">
        <v>52</v>
      </c>
      <c r="F173" s="6" t="s">
        <v>53</v>
      </c>
      <c r="G173" s="6" t="s">
        <v>54</v>
      </c>
      <c r="H173" s="7">
        <v>3</v>
      </c>
      <c r="I173" s="8">
        <v>149.99</v>
      </c>
      <c r="J173" s="6" t="s">
        <v>69</v>
      </c>
      <c r="K173" s="6" t="s">
        <v>47</v>
      </c>
      <c r="L173" s="6" t="s">
        <v>41</v>
      </c>
      <c r="M173" s="6" t="s">
        <v>594</v>
      </c>
      <c r="N173" s="8">
        <v>449.97</v>
      </c>
    </row>
    <row r="174" spans="1:14" ht="15" customHeight="1" x14ac:dyDescent="0.3">
      <c r="A174" s="3" t="s">
        <v>595</v>
      </c>
      <c r="B174" s="3" t="s">
        <v>596</v>
      </c>
      <c r="C174" s="3" t="s">
        <v>34</v>
      </c>
      <c r="D174" s="3" t="s">
        <v>35</v>
      </c>
      <c r="E174" s="3" t="s">
        <v>141</v>
      </c>
      <c r="F174" s="3" t="s">
        <v>142</v>
      </c>
      <c r="G174" s="3" t="s">
        <v>54</v>
      </c>
      <c r="H174" s="4">
        <v>2</v>
      </c>
      <c r="I174" s="5">
        <v>299.99</v>
      </c>
      <c r="J174" s="3" t="s">
        <v>39</v>
      </c>
      <c r="K174" s="3" t="s">
        <v>40</v>
      </c>
      <c r="L174" s="3" t="s">
        <v>23</v>
      </c>
      <c r="M174" s="3" t="s">
        <v>597</v>
      </c>
      <c r="N174" s="5">
        <v>599.98</v>
      </c>
    </row>
    <row r="175" spans="1:14" ht="15" customHeight="1" x14ac:dyDescent="0.3">
      <c r="A175" s="6" t="s">
        <v>598</v>
      </c>
      <c r="B175" s="6" t="s">
        <v>599</v>
      </c>
      <c r="C175" s="6" t="s">
        <v>50</v>
      </c>
      <c r="D175" s="6" t="s">
        <v>51</v>
      </c>
      <c r="E175" s="6" t="s">
        <v>141</v>
      </c>
      <c r="F175" s="6" t="s">
        <v>142</v>
      </c>
      <c r="G175" s="6" t="s">
        <v>54</v>
      </c>
      <c r="H175" s="7">
        <v>2</v>
      </c>
      <c r="I175" s="8">
        <v>299.99</v>
      </c>
      <c r="J175" s="6" t="s">
        <v>21</v>
      </c>
      <c r="K175" s="6" t="s">
        <v>60</v>
      </c>
      <c r="L175" s="6" t="s">
        <v>23</v>
      </c>
      <c r="M175" s="6" t="s">
        <v>600</v>
      </c>
      <c r="N175" s="8">
        <v>599.98</v>
      </c>
    </row>
    <row r="176" spans="1:14" ht="15" customHeight="1" x14ac:dyDescent="0.3">
      <c r="A176" s="3" t="s">
        <v>601</v>
      </c>
      <c r="B176" s="3" t="s">
        <v>599</v>
      </c>
      <c r="C176" s="3" t="s">
        <v>164</v>
      </c>
      <c r="D176" s="3" t="s">
        <v>165</v>
      </c>
      <c r="E176" s="3" t="s">
        <v>173</v>
      </c>
      <c r="F176" s="3" t="s">
        <v>174</v>
      </c>
      <c r="G176" s="3" t="s">
        <v>54</v>
      </c>
      <c r="H176" s="4">
        <v>4</v>
      </c>
      <c r="I176" s="5">
        <v>199.99</v>
      </c>
      <c r="J176" s="3" t="s">
        <v>29</v>
      </c>
      <c r="K176" s="3" t="s">
        <v>22</v>
      </c>
      <c r="L176" s="3" t="s">
        <v>23</v>
      </c>
      <c r="M176" s="3" t="s">
        <v>346</v>
      </c>
      <c r="N176" s="5">
        <v>799.96</v>
      </c>
    </row>
    <row r="177" spans="1:14" ht="15" customHeight="1" x14ac:dyDescent="0.3">
      <c r="A177" s="6" t="s">
        <v>602</v>
      </c>
      <c r="B177" s="6" t="s">
        <v>603</v>
      </c>
      <c r="C177" s="6" t="s">
        <v>73</v>
      </c>
      <c r="D177" s="6" t="s">
        <v>74</v>
      </c>
      <c r="E177" s="6" t="s">
        <v>159</v>
      </c>
      <c r="F177" s="6" t="s">
        <v>160</v>
      </c>
      <c r="G177" s="6" t="s">
        <v>20</v>
      </c>
      <c r="H177" s="7">
        <v>1</v>
      </c>
      <c r="I177" s="8">
        <v>89.99</v>
      </c>
      <c r="J177" s="6" t="s">
        <v>29</v>
      </c>
      <c r="K177" s="6" t="s">
        <v>40</v>
      </c>
      <c r="L177" s="6" t="s">
        <v>30</v>
      </c>
      <c r="M177" s="6" t="s">
        <v>604</v>
      </c>
      <c r="N177" s="8">
        <v>89.99</v>
      </c>
    </row>
    <row r="178" spans="1:14" ht="15" customHeight="1" x14ac:dyDescent="0.3">
      <c r="A178" s="3" t="s">
        <v>605</v>
      </c>
      <c r="B178" s="3" t="s">
        <v>603</v>
      </c>
      <c r="C178" s="3" t="s">
        <v>146</v>
      </c>
      <c r="D178" s="3" t="s">
        <v>147</v>
      </c>
      <c r="E178" s="3" t="s">
        <v>52</v>
      </c>
      <c r="F178" s="3" t="s">
        <v>53</v>
      </c>
      <c r="G178" s="3" t="s">
        <v>54</v>
      </c>
      <c r="H178" s="4">
        <v>5</v>
      </c>
      <c r="I178" s="5">
        <v>149.99</v>
      </c>
      <c r="J178" s="3" t="s">
        <v>21</v>
      </c>
      <c r="K178" s="3" t="s">
        <v>22</v>
      </c>
      <c r="L178" s="3" t="s">
        <v>30</v>
      </c>
      <c r="M178" s="3" t="s">
        <v>606</v>
      </c>
      <c r="N178" s="5">
        <v>749.95</v>
      </c>
    </row>
    <row r="179" spans="1:14" ht="15" customHeight="1" x14ac:dyDescent="0.3">
      <c r="A179" s="6" t="s">
        <v>607</v>
      </c>
      <c r="B179" s="6" t="s">
        <v>608</v>
      </c>
      <c r="C179" s="6" t="s">
        <v>111</v>
      </c>
      <c r="D179" s="6" t="s">
        <v>112</v>
      </c>
      <c r="E179" s="6" t="s">
        <v>75</v>
      </c>
      <c r="F179" s="6" t="s">
        <v>76</v>
      </c>
      <c r="G179" s="6" t="s">
        <v>20</v>
      </c>
      <c r="H179" s="7">
        <v>1</v>
      </c>
      <c r="I179" s="8">
        <v>899.99</v>
      </c>
      <c r="J179" s="6" t="s">
        <v>39</v>
      </c>
      <c r="K179" s="6" t="s">
        <v>47</v>
      </c>
      <c r="L179" s="6" t="s">
        <v>30</v>
      </c>
      <c r="M179" s="6" t="s">
        <v>609</v>
      </c>
      <c r="N179" s="8">
        <v>899.99</v>
      </c>
    </row>
    <row r="180" spans="1:14" ht="15" customHeight="1" x14ac:dyDescent="0.3">
      <c r="A180" s="3" t="s">
        <v>610</v>
      </c>
      <c r="B180" s="3" t="s">
        <v>611</v>
      </c>
      <c r="C180" s="3" t="s">
        <v>212</v>
      </c>
      <c r="D180" s="3" t="s">
        <v>213</v>
      </c>
      <c r="E180" s="3" t="s">
        <v>159</v>
      </c>
      <c r="F180" s="3" t="s">
        <v>160</v>
      </c>
      <c r="G180" s="3" t="s">
        <v>20</v>
      </c>
      <c r="H180" s="4">
        <v>2</v>
      </c>
      <c r="I180" s="5">
        <v>89.99</v>
      </c>
      <c r="J180" s="3" t="s">
        <v>29</v>
      </c>
      <c r="K180" s="3" t="s">
        <v>40</v>
      </c>
      <c r="L180" s="3" t="s">
        <v>30</v>
      </c>
      <c r="M180" s="3" t="s">
        <v>612</v>
      </c>
      <c r="N180" s="5">
        <v>179.98</v>
      </c>
    </row>
    <row r="181" spans="1:14" ht="15" customHeight="1" x14ac:dyDescent="0.3">
      <c r="A181" s="6" t="s">
        <v>613</v>
      </c>
      <c r="B181" s="6" t="s">
        <v>614</v>
      </c>
      <c r="C181" s="6" t="s">
        <v>615</v>
      </c>
      <c r="D181" s="6" t="s">
        <v>616</v>
      </c>
      <c r="E181" s="6" t="s">
        <v>75</v>
      </c>
      <c r="F181" s="6" t="s">
        <v>76</v>
      </c>
      <c r="G181" s="6" t="s">
        <v>20</v>
      </c>
      <c r="H181" s="7">
        <v>1</v>
      </c>
      <c r="I181" s="8">
        <v>899.99</v>
      </c>
      <c r="J181" s="6" t="s">
        <v>39</v>
      </c>
      <c r="K181" s="6" t="s">
        <v>47</v>
      </c>
      <c r="L181" s="6" t="s">
        <v>41</v>
      </c>
      <c r="M181" s="6" t="s">
        <v>617</v>
      </c>
      <c r="N181" s="8">
        <v>899.99</v>
      </c>
    </row>
    <row r="182" spans="1:14" ht="15" customHeight="1" x14ac:dyDescent="0.3">
      <c r="A182" s="3" t="s">
        <v>618</v>
      </c>
      <c r="B182" s="3" t="s">
        <v>619</v>
      </c>
      <c r="C182" s="3" t="s">
        <v>178</v>
      </c>
      <c r="D182" s="3" t="s">
        <v>179</v>
      </c>
      <c r="E182" s="3" t="s">
        <v>63</v>
      </c>
      <c r="F182" s="3" t="s">
        <v>64</v>
      </c>
      <c r="G182" s="3" t="s">
        <v>20</v>
      </c>
      <c r="H182" s="4">
        <v>5</v>
      </c>
      <c r="I182" s="5">
        <v>149.99</v>
      </c>
      <c r="J182" s="3" t="s">
        <v>39</v>
      </c>
      <c r="K182" s="3" t="s">
        <v>77</v>
      </c>
      <c r="L182" s="3" t="s">
        <v>30</v>
      </c>
      <c r="M182" s="3" t="s">
        <v>191</v>
      </c>
      <c r="N182" s="5">
        <v>749.95</v>
      </c>
    </row>
    <row r="183" spans="1:14" ht="15" customHeight="1" x14ac:dyDescent="0.3">
      <c r="A183" s="6" t="s">
        <v>620</v>
      </c>
      <c r="B183" s="6" t="s">
        <v>619</v>
      </c>
      <c r="C183" s="6" t="s">
        <v>50</v>
      </c>
      <c r="D183" s="6" t="s">
        <v>51</v>
      </c>
      <c r="E183" s="6" t="s">
        <v>141</v>
      </c>
      <c r="F183" s="6" t="s">
        <v>142</v>
      </c>
      <c r="G183" s="6" t="s">
        <v>54</v>
      </c>
      <c r="H183" s="7">
        <v>3</v>
      </c>
      <c r="I183" s="8">
        <v>299.99</v>
      </c>
      <c r="J183" s="6" t="s">
        <v>21</v>
      </c>
      <c r="K183" s="6" t="s">
        <v>40</v>
      </c>
      <c r="L183" s="6" t="s">
        <v>41</v>
      </c>
      <c r="M183" s="6" t="s">
        <v>621</v>
      </c>
      <c r="N183" s="8">
        <v>899.97</v>
      </c>
    </row>
    <row r="184" spans="1:14" ht="15" customHeight="1" x14ac:dyDescent="0.3">
      <c r="A184" s="3" t="s">
        <v>622</v>
      </c>
      <c r="B184" s="3" t="s">
        <v>623</v>
      </c>
      <c r="C184" s="3" t="s">
        <v>81</v>
      </c>
      <c r="D184" s="3" t="s">
        <v>82</v>
      </c>
      <c r="E184" s="3" t="s">
        <v>102</v>
      </c>
      <c r="F184" s="3" t="s">
        <v>103</v>
      </c>
      <c r="G184" s="3" t="s">
        <v>20</v>
      </c>
      <c r="H184" s="4">
        <v>3</v>
      </c>
      <c r="I184" s="5">
        <v>699.99</v>
      </c>
      <c r="J184" s="3" t="s">
        <v>29</v>
      </c>
      <c r="K184" s="3" t="s">
        <v>22</v>
      </c>
      <c r="L184" s="3" t="s">
        <v>30</v>
      </c>
      <c r="M184" s="3" t="s">
        <v>624</v>
      </c>
      <c r="N184" s="5">
        <v>2099.9699999999998</v>
      </c>
    </row>
    <row r="185" spans="1:14" ht="15" customHeight="1" x14ac:dyDescent="0.3">
      <c r="A185" s="6" t="s">
        <v>625</v>
      </c>
      <c r="B185" s="6" t="s">
        <v>626</v>
      </c>
      <c r="C185" s="6" t="s">
        <v>146</v>
      </c>
      <c r="D185" s="6" t="s">
        <v>147</v>
      </c>
      <c r="E185" s="6" t="s">
        <v>173</v>
      </c>
      <c r="F185" s="6" t="s">
        <v>174</v>
      </c>
      <c r="G185" s="6" t="s">
        <v>54</v>
      </c>
      <c r="H185" s="7">
        <v>5</v>
      </c>
      <c r="I185" s="8">
        <v>199.99</v>
      </c>
      <c r="J185" s="6" t="s">
        <v>39</v>
      </c>
      <c r="K185" s="6" t="s">
        <v>22</v>
      </c>
      <c r="L185" s="6" t="s">
        <v>41</v>
      </c>
      <c r="M185" s="6" t="s">
        <v>627</v>
      </c>
      <c r="N185" s="8">
        <v>999.95</v>
      </c>
    </row>
    <row r="186" spans="1:14" ht="15" customHeight="1" x14ac:dyDescent="0.3">
      <c r="A186" s="3" t="s">
        <v>628</v>
      </c>
      <c r="B186" s="3" t="s">
        <v>626</v>
      </c>
      <c r="C186" s="3" t="s">
        <v>121</v>
      </c>
      <c r="D186" s="3" t="s">
        <v>122</v>
      </c>
      <c r="E186" s="3" t="s">
        <v>18</v>
      </c>
      <c r="F186" s="3" t="s">
        <v>19</v>
      </c>
      <c r="G186" s="3" t="s">
        <v>20</v>
      </c>
      <c r="H186" s="4">
        <v>5</v>
      </c>
      <c r="I186" s="5">
        <v>249.99</v>
      </c>
      <c r="J186" s="3" t="s">
        <v>29</v>
      </c>
      <c r="K186" s="3" t="s">
        <v>40</v>
      </c>
      <c r="L186" s="3" t="s">
        <v>23</v>
      </c>
      <c r="M186" s="3" t="s">
        <v>629</v>
      </c>
      <c r="N186" s="5">
        <v>1249.95</v>
      </c>
    </row>
    <row r="187" spans="1:14" ht="15" customHeight="1" x14ac:dyDescent="0.3">
      <c r="A187" s="6" t="s">
        <v>630</v>
      </c>
      <c r="B187" s="6" t="s">
        <v>631</v>
      </c>
      <c r="C187" s="6" t="s">
        <v>197</v>
      </c>
      <c r="D187" s="6" t="s">
        <v>198</v>
      </c>
      <c r="E187" s="6" t="s">
        <v>63</v>
      </c>
      <c r="F187" s="6" t="s">
        <v>64</v>
      </c>
      <c r="G187" s="6" t="s">
        <v>20</v>
      </c>
      <c r="H187" s="7">
        <v>4</v>
      </c>
      <c r="I187" s="8">
        <v>149.99</v>
      </c>
      <c r="J187" s="6" t="s">
        <v>69</v>
      </c>
      <c r="K187" s="6" t="s">
        <v>77</v>
      </c>
      <c r="L187" s="6" t="s">
        <v>41</v>
      </c>
      <c r="M187" s="6" t="s">
        <v>632</v>
      </c>
      <c r="N187" s="8">
        <v>599.96</v>
      </c>
    </row>
    <row r="188" spans="1:14" ht="15" customHeight="1" x14ac:dyDescent="0.3">
      <c r="A188" s="3" t="s">
        <v>633</v>
      </c>
      <c r="B188" s="3" t="s">
        <v>631</v>
      </c>
      <c r="C188" s="3" t="s">
        <v>100</v>
      </c>
      <c r="D188" s="3" t="s">
        <v>101</v>
      </c>
      <c r="E188" s="3" t="s">
        <v>102</v>
      </c>
      <c r="F188" s="3" t="s">
        <v>103</v>
      </c>
      <c r="G188" s="3" t="s">
        <v>20</v>
      </c>
      <c r="H188" s="4">
        <v>3</v>
      </c>
      <c r="I188" s="5">
        <v>699.99</v>
      </c>
      <c r="J188" s="3" t="s">
        <v>21</v>
      </c>
      <c r="K188" s="3" t="s">
        <v>47</v>
      </c>
      <c r="L188" s="3" t="s">
        <v>30</v>
      </c>
      <c r="M188" s="3" t="s">
        <v>634</v>
      </c>
      <c r="N188" s="5">
        <v>2099.9699999999998</v>
      </c>
    </row>
    <row r="189" spans="1:14" ht="15" customHeight="1" x14ac:dyDescent="0.3">
      <c r="A189" s="6" t="s">
        <v>635</v>
      </c>
      <c r="B189" s="6" t="s">
        <v>636</v>
      </c>
      <c r="C189" s="6" t="s">
        <v>540</v>
      </c>
      <c r="D189" s="6" t="s">
        <v>541</v>
      </c>
      <c r="E189" s="6" t="s">
        <v>155</v>
      </c>
      <c r="F189" s="6" t="s">
        <v>156</v>
      </c>
      <c r="G189" s="6" t="s">
        <v>38</v>
      </c>
      <c r="H189" s="7">
        <v>1</v>
      </c>
      <c r="I189" s="8">
        <v>79.989999999999995</v>
      </c>
      <c r="J189" s="6" t="s">
        <v>29</v>
      </c>
      <c r="K189" s="6" t="s">
        <v>40</v>
      </c>
      <c r="L189" s="6" t="s">
        <v>23</v>
      </c>
      <c r="M189" s="6" t="s">
        <v>637</v>
      </c>
      <c r="N189" s="8">
        <v>79.989999999999995</v>
      </c>
    </row>
    <row r="190" spans="1:14" ht="15" customHeight="1" x14ac:dyDescent="0.3">
      <c r="A190" s="3" t="s">
        <v>638</v>
      </c>
      <c r="B190" s="3" t="s">
        <v>636</v>
      </c>
      <c r="C190" s="3" t="s">
        <v>111</v>
      </c>
      <c r="D190" s="3" t="s">
        <v>112</v>
      </c>
      <c r="E190" s="3" t="s">
        <v>141</v>
      </c>
      <c r="F190" s="3" t="s">
        <v>142</v>
      </c>
      <c r="G190" s="3" t="s">
        <v>54</v>
      </c>
      <c r="H190" s="4">
        <v>1</v>
      </c>
      <c r="I190" s="5">
        <v>299.99</v>
      </c>
      <c r="J190" s="3" t="s">
        <v>29</v>
      </c>
      <c r="K190" s="3" t="s">
        <v>47</v>
      </c>
      <c r="L190" s="3" t="s">
        <v>23</v>
      </c>
      <c r="M190" s="3" t="s">
        <v>639</v>
      </c>
      <c r="N190" s="5">
        <v>299.99</v>
      </c>
    </row>
    <row r="191" spans="1:14" ht="15" customHeight="1" x14ac:dyDescent="0.3">
      <c r="A191" s="6" t="s">
        <v>640</v>
      </c>
      <c r="B191" s="6" t="s">
        <v>641</v>
      </c>
      <c r="C191" s="6" t="s">
        <v>231</v>
      </c>
      <c r="D191" s="6" t="s">
        <v>232</v>
      </c>
      <c r="E191" s="6" t="s">
        <v>18</v>
      </c>
      <c r="F191" s="6" t="s">
        <v>19</v>
      </c>
      <c r="G191" s="6" t="s">
        <v>20</v>
      </c>
      <c r="H191" s="7">
        <v>4</v>
      </c>
      <c r="I191" s="8">
        <v>249.99</v>
      </c>
      <c r="J191" s="6" t="s">
        <v>29</v>
      </c>
      <c r="K191" s="6" t="s">
        <v>47</v>
      </c>
      <c r="L191" s="6" t="s">
        <v>30</v>
      </c>
      <c r="M191" s="6" t="s">
        <v>458</v>
      </c>
      <c r="N191" s="8">
        <v>999.96</v>
      </c>
    </row>
    <row r="192" spans="1:14" ht="15" customHeight="1" x14ac:dyDescent="0.3">
      <c r="A192" s="3" t="s">
        <v>642</v>
      </c>
      <c r="B192" s="3" t="s">
        <v>641</v>
      </c>
      <c r="C192" s="3" t="s">
        <v>164</v>
      </c>
      <c r="D192" s="3" t="s">
        <v>165</v>
      </c>
      <c r="E192" s="3" t="s">
        <v>63</v>
      </c>
      <c r="F192" s="3" t="s">
        <v>64</v>
      </c>
      <c r="G192" s="3" t="s">
        <v>20</v>
      </c>
      <c r="H192" s="4">
        <v>2</v>
      </c>
      <c r="I192" s="5">
        <v>149.99</v>
      </c>
      <c r="J192" s="3" t="s">
        <v>21</v>
      </c>
      <c r="K192" s="3" t="s">
        <v>47</v>
      </c>
      <c r="L192" s="3" t="s">
        <v>41</v>
      </c>
      <c r="M192" s="3" t="s">
        <v>643</v>
      </c>
      <c r="N192" s="5">
        <v>299.98</v>
      </c>
    </row>
    <row r="193" spans="1:14" ht="15" customHeight="1" x14ac:dyDescent="0.3">
      <c r="A193" s="6" t="s">
        <v>644</v>
      </c>
      <c r="B193" s="6" t="s">
        <v>641</v>
      </c>
      <c r="C193" s="6" t="s">
        <v>399</v>
      </c>
      <c r="D193" s="6" t="s">
        <v>400</v>
      </c>
      <c r="E193" s="6" t="s">
        <v>141</v>
      </c>
      <c r="F193" s="6" t="s">
        <v>142</v>
      </c>
      <c r="G193" s="6" t="s">
        <v>54</v>
      </c>
      <c r="H193" s="7">
        <v>3</v>
      </c>
      <c r="I193" s="8">
        <v>299.99</v>
      </c>
      <c r="J193" s="6" t="s">
        <v>29</v>
      </c>
      <c r="K193" s="6" t="s">
        <v>40</v>
      </c>
      <c r="L193" s="6" t="s">
        <v>23</v>
      </c>
      <c r="M193" s="6" t="s">
        <v>645</v>
      </c>
      <c r="N193" s="8">
        <v>899.97</v>
      </c>
    </row>
    <row r="194" spans="1:14" ht="15" customHeight="1" x14ac:dyDescent="0.3">
      <c r="A194" s="3" t="s">
        <v>646</v>
      </c>
      <c r="B194" s="3" t="s">
        <v>647</v>
      </c>
      <c r="C194" s="3" t="s">
        <v>385</v>
      </c>
      <c r="D194" s="3" t="s">
        <v>386</v>
      </c>
      <c r="E194" s="3" t="s">
        <v>173</v>
      </c>
      <c r="F194" s="3" t="s">
        <v>174</v>
      </c>
      <c r="G194" s="3" t="s">
        <v>54</v>
      </c>
      <c r="H194" s="4">
        <v>4</v>
      </c>
      <c r="I194" s="5">
        <v>199.99</v>
      </c>
      <c r="J194" s="3" t="s">
        <v>69</v>
      </c>
      <c r="K194" s="3" t="s">
        <v>40</v>
      </c>
      <c r="L194" s="3" t="s">
        <v>41</v>
      </c>
      <c r="M194" s="3" t="s">
        <v>648</v>
      </c>
      <c r="N194" s="5">
        <v>799.96</v>
      </c>
    </row>
    <row r="195" spans="1:14" ht="15" customHeight="1" x14ac:dyDescent="0.3">
      <c r="A195" s="6" t="s">
        <v>649</v>
      </c>
      <c r="B195" s="6" t="s">
        <v>647</v>
      </c>
      <c r="C195" s="6" t="s">
        <v>349</v>
      </c>
      <c r="D195" s="6" t="s">
        <v>350</v>
      </c>
      <c r="E195" s="6" t="s">
        <v>141</v>
      </c>
      <c r="F195" s="6" t="s">
        <v>142</v>
      </c>
      <c r="G195" s="6" t="s">
        <v>54</v>
      </c>
      <c r="H195" s="7">
        <v>5</v>
      </c>
      <c r="I195" s="8">
        <v>299.99</v>
      </c>
      <c r="J195" s="6" t="s">
        <v>69</v>
      </c>
      <c r="K195" s="6" t="s">
        <v>22</v>
      </c>
      <c r="L195" s="6" t="s">
        <v>23</v>
      </c>
      <c r="M195" s="6" t="s">
        <v>650</v>
      </c>
      <c r="N195" s="8">
        <v>1499.95</v>
      </c>
    </row>
    <row r="196" spans="1:14" ht="15" customHeight="1" x14ac:dyDescent="0.3">
      <c r="A196" s="3" t="s">
        <v>651</v>
      </c>
      <c r="B196" s="3" t="s">
        <v>647</v>
      </c>
      <c r="C196" s="3" t="s">
        <v>73</v>
      </c>
      <c r="D196" s="3" t="s">
        <v>74</v>
      </c>
      <c r="E196" s="3" t="s">
        <v>52</v>
      </c>
      <c r="F196" s="3" t="s">
        <v>53</v>
      </c>
      <c r="G196" s="3" t="s">
        <v>54</v>
      </c>
      <c r="H196" s="4">
        <v>3</v>
      </c>
      <c r="I196" s="5">
        <v>149.99</v>
      </c>
      <c r="J196" s="3" t="s">
        <v>29</v>
      </c>
      <c r="K196" s="3" t="s">
        <v>77</v>
      </c>
      <c r="L196" s="3" t="s">
        <v>41</v>
      </c>
      <c r="M196" s="3" t="s">
        <v>652</v>
      </c>
      <c r="N196" s="5">
        <v>449.97</v>
      </c>
    </row>
    <row r="197" spans="1:14" ht="15" customHeight="1" x14ac:dyDescent="0.3">
      <c r="A197" s="6" t="s">
        <v>653</v>
      </c>
      <c r="B197" s="6" t="s">
        <v>654</v>
      </c>
      <c r="C197" s="6" t="s">
        <v>178</v>
      </c>
      <c r="D197" s="6" t="s">
        <v>179</v>
      </c>
      <c r="E197" s="6" t="s">
        <v>36</v>
      </c>
      <c r="F197" s="6" t="s">
        <v>37</v>
      </c>
      <c r="G197" s="6" t="s">
        <v>38</v>
      </c>
      <c r="H197" s="7">
        <v>5</v>
      </c>
      <c r="I197" s="8">
        <v>59.99</v>
      </c>
      <c r="J197" s="6" t="s">
        <v>69</v>
      </c>
      <c r="K197" s="6" t="s">
        <v>77</v>
      </c>
      <c r="L197" s="6" t="s">
        <v>23</v>
      </c>
      <c r="M197" s="6" t="s">
        <v>655</v>
      </c>
      <c r="N197" s="8">
        <v>299.95</v>
      </c>
    </row>
    <row r="198" spans="1:14" ht="15" customHeight="1" x14ac:dyDescent="0.3">
      <c r="A198" s="3" t="s">
        <v>656</v>
      </c>
      <c r="B198" s="3" t="s">
        <v>657</v>
      </c>
      <c r="C198" s="3" t="s">
        <v>85</v>
      </c>
      <c r="D198" s="3" t="s">
        <v>86</v>
      </c>
      <c r="E198" s="3" t="s">
        <v>36</v>
      </c>
      <c r="F198" s="3" t="s">
        <v>37</v>
      </c>
      <c r="G198" s="3" t="s">
        <v>38</v>
      </c>
      <c r="H198" s="4">
        <v>4</v>
      </c>
      <c r="I198" s="5">
        <v>59.99</v>
      </c>
      <c r="J198" s="3" t="s">
        <v>69</v>
      </c>
      <c r="K198" s="3" t="s">
        <v>77</v>
      </c>
      <c r="L198" s="3" t="s">
        <v>41</v>
      </c>
      <c r="M198" s="3" t="s">
        <v>612</v>
      </c>
      <c r="N198" s="5">
        <v>239.96</v>
      </c>
    </row>
    <row r="199" spans="1:14" ht="15" customHeight="1" x14ac:dyDescent="0.3">
      <c r="A199" s="6" t="s">
        <v>658</v>
      </c>
      <c r="B199" s="6" t="s">
        <v>659</v>
      </c>
      <c r="C199" s="6" t="s">
        <v>58</v>
      </c>
      <c r="D199" s="6" t="s">
        <v>59</v>
      </c>
      <c r="E199" s="6" t="s">
        <v>18</v>
      </c>
      <c r="F199" s="6" t="s">
        <v>19</v>
      </c>
      <c r="G199" s="6" t="s">
        <v>20</v>
      </c>
      <c r="H199" s="7">
        <v>4</v>
      </c>
      <c r="I199" s="8">
        <v>249.99</v>
      </c>
      <c r="J199" s="6" t="s">
        <v>69</v>
      </c>
      <c r="K199" s="6" t="s">
        <v>22</v>
      </c>
      <c r="L199" s="6" t="s">
        <v>30</v>
      </c>
      <c r="M199" s="6" t="s">
        <v>660</v>
      </c>
      <c r="N199" s="8">
        <v>999.96</v>
      </c>
    </row>
    <row r="200" spans="1:14" ht="15" customHeight="1" x14ac:dyDescent="0.3">
      <c r="A200" s="3" t="s">
        <v>661</v>
      </c>
      <c r="B200" s="3" t="s">
        <v>662</v>
      </c>
      <c r="C200" s="3" t="s">
        <v>437</v>
      </c>
      <c r="D200" s="3" t="s">
        <v>438</v>
      </c>
      <c r="E200" s="3" t="s">
        <v>75</v>
      </c>
      <c r="F200" s="3" t="s">
        <v>76</v>
      </c>
      <c r="G200" s="3" t="s">
        <v>20</v>
      </c>
      <c r="H200" s="4">
        <v>4</v>
      </c>
      <c r="I200" s="5">
        <v>899.99</v>
      </c>
      <c r="J200" s="3" t="s">
        <v>39</v>
      </c>
      <c r="K200" s="3" t="s">
        <v>22</v>
      </c>
      <c r="L200" s="3" t="s">
        <v>23</v>
      </c>
      <c r="M200" s="3" t="s">
        <v>663</v>
      </c>
      <c r="N200" s="5">
        <v>3599.96</v>
      </c>
    </row>
    <row r="201" spans="1:14" ht="15" customHeight="1" x14ac:dyDescent="0.3">
      <c r="A201" s="6" t="s">
        <v>664</v>
      </c>
      <c r="B201" s="6" t="s">
        <v>662</v>
      </c>
      <c r="C201" s="6" t="s">
        <v>111</v>
      </c>
      <c r="D201" s="6" t="s">
        <v>112</v>
      </c>
      <c r="E201" s="6" t="s">
        <v>141</v>
      </c>
      <c r="F201" s="6" t="s">
        <v>142</v>
      </c>
      <c r="G201" s="6" t="s">
        <v>54</v>
      </c>
      <c r="H201" s="7">
        <v>3</v>
      </c>
      <c r="I201" s="8">
        <v>299.99</v>
      </c>
      <c r="J201" s="6" t="s">
        <v>69</v>
      </c>
      <c r="K201" s="6" t="s">
        <v>60</v>
      </c>
      <c r="L201" s="6" t="s">
        <v>41</v>
      </c>
      <c r="M201" s="6" t="s">
        <v>665</v>
      </c>
      <c r="N201" s="8">
        <v>899.97</v>
      </c>
    </row>
    <row r="202" spans="1:14" ht="15" customHeight="1" x14ac:dyDescent="0.3">
      <c r="A202" s="3" t="s">
        <v>666</v>
      </c>
      <c r="B202" s="3" t="s">
        <v>662</v>
      </c>
      <c r="C202" s="3" t="s">
        <v>540</v>
      </c>
      <c r="D202" s="3" t="s">
        <v>541</v>
      </c>
      <c r="E202" s="3" t="s">
        <v>102</v>
      </c>
      <c r="F202" s="3" t="s">
        <v>103</v>
      </c>
      <c r="G202" s="3" t="s">
        <v>20</v>
      </c>
      <c r="H202" s="4">
        <v>2</v>
      </c>
      <c r="I202" s="5">
        <v>699.99</v>
      </c>
      <c r="J202" s="3" t="s">
        <v>69</v>
      </c>
      <c r="K202" s="3" t="s">
        <v>22</v>
      </c>
      <c r="L202" s="3" t="s">
        <v>30</v>
      </c>
      <c r="M202" s="3" t="s">
        <v>667</v>
      </c>
      <c r="N202" s="5">
        <v>1399.98</v>
      </c>
    </row>
    <row r="203" spans="1:14" ht="15" customHeight="1" x14ac:dyDescent="0.3">
      <c r="A203" s="6" t="s">
        <v>668</v>
      </c>
      <c r="B203" s="6" t="s">
        <v>669</v>
      </c>
      <c r="C203" s="6" t="s">
        <v>81</v>
      </c>
      <c r="D203" s="6" t="s">
        <v>82</v>
      </c>
      <c r="E203" s="6" t="s">
        <v>102</v>
      </c>
      <c r="F203" s="6" t="s">
        <v>103</v>
      </c>
      <c r="G203" s="6" t="s">
        <v>20</v>
      </c>
      <c r="H203" s="7">
        <v>4</v>
      </c>
      <c r="I203" s="8">
        <v>699.99</v>
      </c>
      <c r="J203" s="6" t="s">
        <v>69</v>
      </c>
      <c r="K203" s="6" t="s">
        <v>60</v>
      </c>
      <c r="L203" s="6" t="s">
        <v>30</v>
      </c>
      <c r="M203" s="6" t="s">
        <v>670</v>
      </c>
      <c r="N203" s="8">
        <v>2799.96</v>
      </c>
    </row>
    <row r="204" spans="1:14" ht="15" customHeight="1" x14ac:dyDescent="0.3">
      <c r="A204" s="3" t="s">
        <v>671</v>
      </c>
      <c r="B204" s="3" t="s">
        <v>669</v>
      </c>
      <c r="C204" s="3" t="s">
        <v>169</v>
      </c>
      <c r="D204" s="3" t="s">
        <v>170</v>
      </c>
      <c r="E204" s="3" t="s">
        <v>159</v>
      </c>
      <c r="F204" s="3" t="s">
        <v>160</v>
      </c>
      <c r="G204" s="3" t="s">
        <v>20</v>
      </c>
      <c r="H204" s="4">
        <v>2</v>
      </c>
      <c r="I204" s="5">
        <v>89.99</v>
      </c>
      <c r="J204" s="3" t="s">
        <v>69</v>
      </c>
      <c r="K204" s="3" t="s">
        <v>40</v>
      </c>
      <c r="L204" s="3" t="s">
        <v>23</v>
      </c>
      <c r="M204" s="3" t="s">
        <v>672</v>
      </c>
      <c r="N204" s="5">
        <v>179.98</v>
      </c>
    </row>
    <row r="205" spans="1:14" ht="15" customHeight="1" x14ac:dyDescent="0.3">
      <c r="A205" s="6" t="s">
        <v>673</v>
      </c>
      <c r="B205" s="6" t="s">
        <v>669</v>
      </c>
      <c r="C205" s="6" t="s">
        <v>50</v>
      </c>
      <c r="D205" s="6" t="s">
        <v>51</v>
      </c>
      <c r="E205" s="6" t="s">
        <v>159</v>
      </c>
      <c r="F205" s="6" t="s">
        <v>160</v>
      </c>
      <c r="G205" s="6" t="s">
        <v>20</v>
      </c>
      <c r="H205" s="7">
        <v>3</v>
      </c>
      <c r="I205" s="8">
        <v>89.99</v>
      </c>
      <c r="J205" s="6" t="s">
        <v>69</v>
      </c>
      <c r="K205" s="6" t="s">
        <v>40</v>
      </c>
      <c r="L205" s="6" t="s">
        <v>30</v>
      </c>
      <c r="M205" s="6" t="s">
        <v>674</v>
      </c>
      <c r="N205" s="8">
        <v>269.97000000000003</v>
      </c>
    </row>
    <row r="206" spans="1:14" ht="15" customHeight="1" x14ac:dyDescent="0.3">
      <c r="A206" s="3" t="s">
        <v>675</v>
      </c>
      <c r="B206" s="3" t="s">
        <v>676</v>
      </c>
      <c r="C206" s="3" t="s">
        <v>615</v>
      </c>
      <c r="D206" s="3" t="s">
        <v>616</v>
      </c>
      <c r="E206" s="3" t="s">
        <v>36</v>
      </c>
      <c r="F206" s="3" t="s">
        <v>37</v>
      </c>
      <c r="G206" s="3" t="s">
        <v>38</v>
      </c>
      <c r="H206" s="4">
        <v>1</v>
      </c>
      <c r="I206" s="5">
        <v>59.99</v>
      </c>
      <c r="J206" s="3" t="s">
        <v>69</v>
      </c>
      <c r="K206" s="3" t="s">
        <v>22</v>
      </c>
      <c r="L206" s="3" t="s">
        <v>41</v>
      </c>
      <c r="M206" s="3" t="s">
        <v>677</v>
      </c>
      <c r="N206" s="5">
        <v>59.99</v>
      </c>
    </row>
    <row r="207" spans="1:14" ht="15" customHeight="1" x14ac:dyDescent="0.3">
      <c r="A207" s="6" t="s">
        <v>678</v>
      </c>
      <c r="B207" s="6" t="s">
        <v>679</v>
      </c>
      <c r="C207" s="6" t="s">
        <v>428</v>
      </c>
      <c r="D207" s="6" t="s">
        <v>429</v>
      </c>
      <c r="E207" s="6" t="s">
        <v>52</v>
      </c>
      <c r="F207" s="6" t="s">
        <v>53</v>
      </c>
      <c r="G207" s="6" t="s">
        <v>54</v>
      </c>
      <c r="H207" s="7">
        <v>3</v>
      </c>
      <c r="I207" s="8">
        <v>149.99</v>
      </c>
      <c r="J207" s="6" t="s">
        <v>69</v>
      </c>
      <c r="K207" s="6" t="s">
        <v>47</v>
      </c>
      <c r="L207" s="6" t="s">
        <v>30</v>
      </c>
      <c r="M207" s="6" t="s">
        <v>612</v>
      </c>
      <c r="N207" s="8">
        <v>449.97</v>
      </c>
    </row>
    <row r="208" spans="1:14" ht="15" customHeight="1" x14ac:dyDescent="0.3">
      <c r="A208" s="3" t="s">
        <v>680</v>
      </c>
      <c r="B208" s="3" t="s">
        <v>679</v>
      </c>
      <c r="C208" s="3" t="s">
        <v>121</v>
      </c>
      <c r="D208" s="3" t="s">
        <v>122</v>
      </c>
      <c r="E208" s="3" t="s">
        <v>141</v>
      </c>
      <c r="F208" s="3" t="s">
        <v>142</v>
      </c>
      <c r="G208" s="3" t="s">
        <v>54</v>
      </c>
      <c r="H208" s="4">
        <v>5</v>
      </c>
      <c r="I208" s="5">
        <v>299.99</v>
      </c>
      <c r="J208" s="3" t="s">
        <v>29</v>
      </c>
      <c r="K208" s="3" t="s">
        <v>40</v>
      </c>
      <c r="L208" s="3" t="s">
        <v>23</v>
      </c>
      <c r="M208" s="3" t="s">
        <v>681</v>
      </c>
      <c r="N208" s="5">
        <v>1499.95</v>
      </c>
    </row>
    <row r="209" spans="1:14" ht="15" customHeight="1" x14ac:dyDescent="0.3">
      <c r="A209" s="6" t="s">
        <v>682</v>
      </c>
      <c r="B209" s="6" t="s">
        <v>683</v>
      </c>
      <c r="C209" s="6" t="s">
        <v>217</v>
      </c>
      <c r="D209" s="6" t="s">
        <v>218</v>
      </c>
      <c r="E209" s="6" t="s">
        <v>36</v>
      </c>
      <c r="F209" s="6" t="s">
        <v>37</v>
      </c>
      <c r="G209" s="6" t="s">
        <v>38</v>
      </c>
      <c r="H209" s="7">
        <v>5</v>
      </c>
      <c r="I209" s="8">
        <v>59.99</v>
      </c>
      <c r="J209" s="6" t="s">
        <v>69</v>
      </c>
      <c r="K209" s="6" t="s">
        <v>22</v>
      </c>
      <c r="L209" s="6" t="s">
        <v>41</v>
      </c>
      <c r="M209" s="6" t="s">
        <v>684</v>
      </c>
      <c r="N209" s="8">
        <v>299.95</v>
      </c>
    </row>
    <row r="210" spans="1:14" ht="15" customHeight="1" x14ac:dyDescent="0.3">
      <c r="A210" s="3" t="s">
        <v>685</v>
      </c>
      <c r="B210" s="3" t="s">
        <v>686</v>
      </c>
      <c r="C210" s="3" t="s">
        <v>146</v>
      </c>
      <c r="D210" s="3" t="s">
        <v>147</v>
      </c>
      <c r="E210" s="3" t="s">
        <v>155</v>
      </c>
      <c r="F210" s="3" t="s">
        <v>156</v>
      </c>
      <c r="G210" s="3" t="s">
        <v>38</v>
      </c>
      <c r="H210" s="4">
        <v>3</v>
      </c>
      <c r="I210" s="5">
        <v>79.989999999999995</v>
      </c>
      <c r="J210" s="3" t="s">
        <v>21</v>
      </c>
      <c r="K210" s="3" t="s">
        <v>77</v>
      </c>
      <c r="L210" s="3" t="s">
        <v>30</v>
      </c>
      <c r="M210" s="3" t="s">
        <v>639</v>
      </c>
      <c r="N210" s="5">
        <v>239.97</v>
      </c>
    </row>
    <row r="211" spans="1:14" ht="15" customHeight="1" x14ac:dyDescent="0.3">
      <c r="A211" s="6" t="s">
        <v>687</v>
      </c>
      <c r="B211" s="6" t="s">
        <v>688</v>
      </c>
      <c r="C211" s="6" t="s">
        <v>34</v>
      </c>
      <c r="D211" s="6" t="s">
        <v>35</v>
      </c>
      <c r="E211" s="6" t="s">
        <v>173</v>
      </c>
      <c r="F211" s="6" t="s">
        <v>174</v>
      </c>
      <c r="G211" s="6" t="s">
        <v>54</v>
      </c>
      <c r="H211" s="7">
        <v>3</v>
      </c>
      <c r="I211" s="8">
        <v>199.99</v>
      </c>
      <c r="J211" s="6" t="s">
        <v>21</v>
      </c>
      <c r="K211" s="6" t="s">
        <v>22</v>
      </c>
      <c r="L211" s="6" t="s">
        <v>23</v>
      </c>
      <c r="M211" s="6" t="s">
        <v>689</v>
      </c>
      <c r="N211" s="8">
        <v>599.97</v>
      </c>
    </row>
    <row r="212" spans="1:14" ht="15" customHeight="1" x14ac:dyDescent="0.3">
      <c r="A212" s="3" t="s">
        <v>690</v>
      </c>
      <c r="B212" s="3" t="s">
        <v>688</v>
      </c>
      <c r="C212" s="3" t="s">
        <v>16</v>
      </c>
      <c r="D212" s="3" t="s">
        <v>17</v>
      </c>
      <c r="E212" s="3" t="s">
        <v>159</v>
      </c>
      <c r="F212" s="3" t="s">
        <v>160</v>
      </c>
      <c r="G212" s="3" t="s">
        <v>20</v>
      </c>
      <c r="H212" s="4">
        <v>2</v>
      </c>
      <c r="I212" s="5">
        <v>89.99</v>
      </c>
      <c r="J212" s="3" t="s">
        <v>39</v>
      </c>
      <c r="K212" s="3" t="s">
        <v>22</v>
      </c>
      <c r="L212" s="3" t="s">
        <v>23</v>
      </c>
      <c r="M212" s="3" t="s">
        <v>691</v>
      </c>
      <c r="N212" s="5">
        <v>179.98</v>
      </c>
    </row>
    <row r="213" spans="1:14" ht="15" customHeight="1" x14ac:dyDescent="0.3">
      <c r="A213" s="6" t="s">
        <v>692</v>
      </c>
      <c r="B213" s="6" t="s">
        <v>693</v>
      </c>
      <c r="C213" s="6" t="s">
        <v>453</v>
      </c>
      <c r="D213" s="6" t="s">
        <v>454</v>
      </c>
      <c r="E213" s="6" t="s">
        <v>52</v>
      </c>
      <c r="F213" s="6" t="s">
        <v>53</v>
      </c>
      <c r="G213" s="6" t="s">
        <v>54</v>
      </c>
      <c r="H213" s="7">
        <v>2</v>
      </c>
      <c r="I213" s="8">
        <v>149.99</v>
      </c>
      <c r="J213" s="6" t="s">
        <v>21</v>
      </c>
      <c r="K213" s="6" t="s">
        <v>40</v>
      </c>
      <c r="L213" s="6" t="s">
        <v>30</v>
      </c>
      <c r="M213" s="6" t="s">
        <v>694</v>
      </c>
      <c r="N213" s="8">
        <v>299.98</v>
      </c>
    </row>
    <row r="214" spans="1:14" ht="15" customHeight="1" x14ac:dyDescent="0.3">
      <c r="A214" s="3" t="s">
        <v>695</v>
      </c>
      <c r="B214" s="3" t="s">
        <v>696</v>
      </c>
      <c r="C214" s="3" t="s">
        <v>169</v>
      </c>
      <c r="D214" s="3" t="s">
        <v>170</v>
      </c>
      <c r="E214" s="3" t="s">
        <v>102</v>
      </c>
      <c r="F214" s="3" t="s">
        <v>103</v>
      </c>
      <c r="G214" s="3" t="s">
        <v>20</v>
      </c>
      <c r="H214" s="4">
        <v>5</v>
      </c>
      <c r="I214" s="5">
        <v>699.99</v>
      </c>
      <c r="J214" s="3" t="s">
        <v>39</v>
      </c>
      <c r="K214" s="3" t="s">
        <v>40</v>
      </c>
      <c r="L214" s="3" t="s">
        <v>30</v>
      </c>
      <c r="M214" s="3" t="s">
        <v>264</v>
      </c>
      <c r="N214" s="5">
        <v>3499.95</v>
      </c>
    </row>
    <row r="215" spans="1:14" ht="15" customHeight="1" x14ac:dyDescent="0.3">
      <c r="A215" s="6" t="s">
        <v>697</v>
      </c>
      <c r="B215" s="6" t="s">
        <v>696</v>
      </c>
      <c r="C215" s="6" t="s">
        <v>50</v>
      </c>
      <c r="D215" s="6" t="s">
        <v>51</v>
      </c>
      <c r="E215" s="6" t="s">
        <v>52</v>
      </c>
      <c r="F215" s="6" t="s">
        <v>53</v>
      </c>
      <c r="G215" s="6" t="s">
        <v>54</v>
      </c>
      <c r="H215" s="7">
        <v>3</v>
      </c>
      <c r="I215" s="8">
        <v>149.99</v>
      </c>
      <c r="J215" s="6" t="s">
        <v>39</v>
      </c>
      <c r="K215" s="6" t="s">
        <v>22</v>
      </c>
      <c r="L215" s="6" t="s">
        <v>41</v>
      </c>
      <c r="M215" s="6" t="s">
        <v>627</v>
      </c>
      <c r="N215" s="8">
        <v>449.97</v>
      </c>
    </row>
    <row r="216" spans="1:14" ht="15" customHeight="1" x14ac:dyDescent="0.3">
      <c r="A216" s="3" t="s">
        <v>698</v>
      </c>
      <c r="B216" s="3" t="s">
        <v>699</v>
      </c>
      <c r="C216" s="3" t="s">
        <v>126</v>
      </c>
      <c r="D216" s="3" t="s">
        <v>127</v>
      </c>
      <c r="E216" s="3" t="s">
        <v>75</v>
      </c>
      <c r="F216" s="3" t="s">
        <v>76</v>
      </c>
      <c r="G216" s="3" t="s">
        <v>20</v>
      </c>
      <c r="H216" s="4">
        <v>3</v>
      </c>
      <c r="I216" s="5">
        <v>899.99</v>
      </c>
      <c r="J216" s="3" t="s">
        <v>21</v>
      </c>
      <c r="K216" s="3" t="s">
        <v>77</v>
      </c>
      <c r="L216" s="3" t="s">
        <v>41</v>
      </c>
      <c r="M216" s="3" t="s">
        <v>700</v>
      </c>
      <c r="N216" s="5">
        <v>2699.97</v>
      </c>
    </row>
    <row r="217" spans="1:14" ht="15" customHeight="1" x14ac:dyDescent="0.3">
      <c r="A217" s="6" t="s">
        <v>701</v>
      </c>
      <c r="B217" s="6" t="s">
        <v>699</v>
      </c>
      <c r="C217" s="6" t="s">
        <v>304</v>
      </c>
      <c r="D217" s="6" t="s">
        <v>305</v>
      </c>
      <c r="E217" s="6" t="s">
        <v>173</v>
      </c>
      <c r="F217" s="6" t="s">
        <v>174</v>
      </c>
      <c r="G217" s="6" t="s">
        <v>54</v>
      </c>
      <c r="H217" s="7">
        <v>3</v>
      </c>
      <c r="I217" s="8">
        <v>199.99</v>
      </c>
      <c r="J217" s="6" t="s">
        <v>21</v>
      </c>
      <c r="K217" s="6" t="s">
        <v>60</v>
      </c>
      <c r="L217" s="6" t="s">
        <v>30</v>
      </c>
      <c r="M217" s="6" t="s">
        <v>180</v>
      </c>
      <c r="N217" s="8">
        <v>599.97</v>
      </c>
    </row>
    <row r="218" spans="1:14" ht="15" customHeight="1" x14ac:dyDescent="0.3">
      <c r="A218" s="3" t="s">
        <v>702</v>
      </c>
      <c r="B218" s="3" t="s">
        <v>703</v>
      </c>
      <c r="C218" s="3" t="s">
        <v>67</v>
      </c>
      <c r="D218" s="3" t="s">
        <v>68</v>
      </c>
      <c r="E218" s="3" t="s">
        <v>141</v>
      </c>
      <c r="F218" s="3" t="s">
        <v>142</v>
      </c>
      <c r="G218" s="3" t="s">
        <v>54</v>
      </c>
      <c r="H218" s="4">
        <v>5</v>
      </c>
      <c r="I218" s="5">
        <v>299.99</v>
      </c>
      <c r="J218" s="3" t="s">
        <v>21</v>
      </c>
      <c r="K218" s="3" t="s">
        <v>60</v>
      </c>
      <c r="L218" s="3" t="s">
        <v>41</v>
      </c>
      <c r="M218" s="3" t="s">
        <v>704</v>
      </c>
      <c r="N218" s="5">
        <v>1499.95</v>
      </c>
    </row>
    <row r="219" spans="1:14" ht="15" customHeight="1" x14ac:dyDescent="0.3">
      <c r="A219" s="6" t="s">
        <v>705</v>
      </c>
      <c r="B219" s="6" t="s">
        <v>703</v>
      </c>
      <c r="C219" s="6" t="s">
        <v>217</v>
      </c>
      <c r="D219" s="6" t="s">
        <v>218</v>
      </c>
      <c r="E219" s="6" t="s">
        <v>102</v>
      </c>
      <c r="F219" s="6" t="s">
        <v>103</v>
      </c>
      <c r="G219" s="6" t="s">
        <v>20</v>
      </c>
      <c r="H219" s="7">
        <v>1</v>
      </c>
      <c r="I219" s="8">
        <v>699.99</v>
      </c>
      <c r="J219" s="6" t="s">
        <v>39</v>
      </c>
      <c r="K219" s="6" t="s">
        <v>60</v>
      </c>
      <c r="L219" s="6" t="s">
        <v>23</v>
      </c>
      <c r="M219" s="6" t="s">
        <v>706</v>
      </c>
      <c r="N219" s="8">
        <v>699.99</v>
      </c>
    </row>
    <row r="220" spans="1:14" ht="15" customHeight="1" x14ac:dyDescent="0.3">
      <c r="A220" s="3" t="s">
        <v>707</v>
      </c>
      <c r="B220" s="3" t="s">
        <v>708</v>
      </c>
      <c r="C220" s="3" t="s">
        <v>428</v>
      </c>
      <c r="D220" s="3" t="s">
        <v>429</v>
      </c>
      <c r="E220" s="3" t="s">
        <v>102</v>
      </c>
      <c r="F220" s="3" t="s">
        <v>103</v>
      </c>
      <c r="G220" s="3" t="s">
        <v>20</v>
      </c>
      <c r="H220" s="4">
        <v>1</v>
      </c>
      <c r="I220" s="5">
        <v>699.99</v>
      </c>
      <c r="J220" s="3" t="s">
        <v>21</v>
      </c>
      <c r="K220" s="3" t="s">
        <v>47</v>
      </c>
      <c r="L220" s="3" t="s">
        <v>30</v>
      </c>
      <c r="M220" s="3" t="s">
        <v>537</v>
      </c>
      <c r="N220" s="5">
        <v>699.99</v>
      </c>
    </row>
    <row r="221" spans="1:14" ht="15" customHeight="1" x14ac:dyDescent="0.3">
      <c r="A221" s="6" t="s">
        <v>709</v>
      </c>
      <c r="B221" s="6" t="s">
        <v>708</v>
      </c>
      <c r="C221" s="6" t="s">
        <v>615</v>
      </c>
      <c r="D221" s="6" t="s">
        <v>616</v>
      </c>
      <c r="E221" s="6" t="s">
        <v>52</v>
      </c>
      <c r="F221" s="6" t="s">
        <v>53</v>
      </c>
      <c r="G221" s="6" t="s">
        <v>54</v>
      </c>
      <c r="H221" s="7">
        <v>4</v>
      </c>
      <c r="I221" s="8">
        <v>149.99</v>
      </c>
      <c r="J221" s="6" t="s">
        <v>39</v>
      </c>
      <c r="K221" s="6" t="s">
        <v>47</v>
      </c>
      <c r="L221" s="6" t="s">
        <v>30</v>
      </c>
      <c r="M221" s="6" t="s">
        <v>175</v>
      </c>
      <c r="N221" s="8">
        <v>599.96</v>
      </c>
    </row>
    <row r="222" spans="1:14" ht="15" customHeight="1" x14ac:dyDescent="0.3">
      <c r="A222" s="3" t="s">
        <v>710</v>
      </c>
      <c r="B222" s="3" t="s">
        <v>708</v>
      </c>
      <c r="C222" s="3" t="s">
        <v>349</v>
      </c>
      <c r="D222" s="3" t="s">
        <v>350</v>
      </c>
      <c r="E222" s="3" t="s">
        <v>159</v>
      </c>
      <c r="F222" s="3" t="s">
        <v>160</v>
      </c>
      <c r="G222" s="3" t="s">
        <v>20</v>
      </c>
      <c r="H222" s="4">
        <v>5</v>
      </c>
      <c r="I222" s="5">
        <v>89.99</v>
      </c>
      <c r="J222" s="3" t="s">
        <v>39</v>
      </c>
      <c r="K222" s="3" t="s">
        <v>60</v>
      </c>
      <c r="L222" s="3" t="s">
        <v>30</v>
      </c>
      <c r="M222" s="3" t="s">
        <v>711</v>
      </c>
      <c r="N222" s="5">
        <v>449.95</v>
      </c>
    </row>
    <row r="223" spans="1:14" ht="15" customHeight="1" x14ac:dyDescent="0.3">
      <c r="A223" s="6" t="s">
        <v>712</v>
      </c>
      <c r="B223" s="6" t="s">
        <v>713</v>
      </c>
      <c r="C223" s="6" t="s">
        <v>197</v>
      </c>
      <c r="D223" s="6" t="s">
        <v>198</v>
      </c>
      <c r="E223" s="6" t="s">
        <v>173</v>
      </c>
      <c r="F223" s="6" t="s">
        <v>174</v>
      </c>
      <c r="G223" s="6" t="s">
        <v>54</v>
      </c>
      <c r="H223" s="7">
        <v>2</v>
      </c>
      <c r="I223" s="8">
        <v>199.99</v>
      </c>
      <c r="J223" s="6" t="s">
        <v>21</v>
      </c>
      <c r="K223" s="6" t="s">
        <v>22</v>
      </c>
      <c r="L223" s="6" t="s">
        <v>30</v>
      </c>
      <c r="M223" s="6" t="s">
        <v>714</v>
      </c>
      <c r="N223" s="8">
        <v>399.98</v>
      </c>
    </row>
    <row r="224" spans="1:14" ht="15" customHeight="1" x14ac:dyDescent="0.3">
      <c r="A224" s="3" t="s">
        <v>715</v>
      </c>
      <c r="B224" s="3" t="s">
        <v>716</v>
      </c>
      <c r="C224" s="3" t="s">
        <v>453</v>
      </c>
      <c r="D224" s="3" t="s">
        <v>454</v>
      </c>
      <c r="E224" s="3" t="s">
        <v>36</v>
      </c>
      <c r="F224" s="3" t="s">
        <v>37</v>
      </c>
      <c r="G224" s="3" t="s">
        <v>38</v>
      </c>
      <c r="H224" s="4">
        <v>4</v>
      </c>
      <c r="I224" s="5">
        <v>59.99</v>
      </c>
      <c r="J224" s="3" t="s">
        <v>21</v>
      </c>
      <c r="K224" s="3" t="s">
        <v>60</v>
      </c>
      <c r="L224" s="3" t="s">
        <v>41</v>
      </c>
      <c r="M224" s="3" t="s">
        <v>717</v>
      </c>
      <c r="N224" s="5">
        <v>239.96</v>
      </c>
    </row>
    <row r="225" spans="1:14" ht="15" customHeight="1" x14ac:dyDescent="0.3">
      <c r="A225" s="6" t="s">
        <v>718</v>
      </c>
      <c r="B225" s="6" t="s">
        <v>716</v>
      </c>
      <c r="C225" s="6" t="s">
        <v>121</v>
      </c>
      <c r="D225" s="6" t="s">
        <v>122</v>
      </c>
      <c r="E225" s="6" t="s">
        <v>141</v>
      </c>
      <c r="F225" s="6" t="s">
        <v>142</v>
      </c>
      <c r="G225" s="6" t="s">
        <v>54</v>
      </c>
      <c r="H225" s="7">
        <v>2</v>
      </c>
      <c r="I225" s="8">
        <v>299.99</v>
      </c>
      <c r="J225" s="6" t="s">
        <v>39</v>
      </c>
      <c r="K225" s="6" t="s">
        <v>40</v>
      </c>
      <c r="L225" s="6" t="s">
        <v>23</v>
      </c>
      <c r="M225" s="6" t="s">
        <v>719</v>
      </c>
      <c r="N225" s="8">
        <v>599.98</v>
      </c>
    </row>
    <row r="226" spans="1:14" ht="15" customHeight="1" x14ac:dyDescent="0.3">
      <c r="A226" s="3" t="s">
        <v>720</v>
      </c>
      <c r="B226" s="3" t="s">
        <v>721</v>
      </c>
      <c r="C226" s="3" t="s">
        <v>67</v>
      </c>
      <c r="D226" s="3" t="s">
        <v>68</v>
      </c>
      <c r="E226" s="3" t="s">
        <v>52</v>
      </c>
      <c r="F226" s="3" t="s">
        <v>53</v>
      </c>
      <c r="G226" s="3" t="s">
        <v>54</v>
      </c>
      <c r="H226" s="4">
        <v>2</v>
      </c>
      <c r="I226" s="5">
        <v>149.99</v>
      </c>
      <c r="J226" s="3" t="s">
        <v>21</v>
      </c>
      <c r="K226" s="3" t="s">
        <v>22</v>
      </c>
      <c r="L226" s="3" t="s">
        <v>23</v>
      </c>
      <c r="M226" s="3" t="s">
        <v>185</v>
      </c>
      <c r="N226" s="5">
        <v>299.98</v>
      </c>
    </row>
    <row r="227" spans="1:14" ht="15" customHeight="1" x14ac:dyDescent="0.3">
      <c r="A227" s="6" t="s">
        <v>722</v>
      </c>
      <c r="B227" s="6" t="s">
        <v>723</v>
      </c>
      <c r="C227" s="6" t="s">
        <v>385</v>
      </c>
      <c r="D227" s="6" t="s">
        <v>386</v>
      </c>
      <c r="E227" s="6" t="s">
        <v>102</v>
      </c>
      <c r="F227" s="6" t="s">
        <v>103</v>
      </c>
      <c r="G227" s="6" t="s">
        <v>20</v>
      </c>
      <c r="H227" s="7">
        <v>5</v>
      </c>
      <c r="I227" s="8">
        <v>699.99</v>
      </c>
      <c r="J227" s="6" t="s">
        <v>69</v>
      </c>
      <c r="K227" s="6" t="s">
        <v>77</v>
      </c>
      <c r="L227" s="6" t="s">
        <v>30</v>
      </c>
      <c r="M227" s="6" t="s">
        <v>296</v>
      </c>
      <c r="N227" s="8">
        <v>3499.95</v>
      </c>
    </row>
    <row r="228" spans="1:14" ht="15" customHeight="1" x14ac:dyDescent="0.3">
      <c r="A228" s="3" t="s">
        <v>724</v>
      </c>
      <c r="B228" s="3" t="s">
        <v>725</v>
      </c>
      <c r="C228" s="3" t="s">
        <v>96</v>
      </c>
      <c r="D228" s="3" t="s">
        <v>97</v>
      </c>
      <c r="E228" s="3" t="s">
        <v>36</v>
      </c>
      <c r="F228" s="3" t="s">
        <v>37</v>
      </c>
      <c r="G228" s="3" t="s">
        <v>38</v>
      </c>
      <c r="H228" s="4">
        <v>5</v>
      </c>
      <c r="I228" s="5">
        <v>59.99</v>
      </c>
      <c r="J228" s="3" t="s">
        <v>21</v>
      </c>
      <c r="K228" s="3" t="s">
        <v>60</v>
      </c>
      <c r="L228" s="3" t="s">
        <v>30</v>
      </c>
      <c r="M228" s="3" t="s">
        <v>726</v>
      </c>
      <c r="N228" s="5">
        <v>299.95</v>
      </c>
    </row>
    <row r="229" spans="1:14" ht="15" customHeight="1" x14ac:dyDescent="0.3">
      <c r="A229" s="6" t="s">
        <v>727</v>
      </c>
      <c r="B229" s="6" t="s">
        <v>728</v>
      </c>
      <c r="C229" s="6" t="s">
        <v>16</v>
      </c>
      <c r="D229" s="6" t="s">
        <v>17</v>
      </c>
      <c r="E229" s="6" t="s">
        <v>159</v>
      </c>
      <c r="F229" s="6" t="s">
        <v>160</v>
      </c>
      <c r="G229" s="6" t="s">
        <v>20</v>
      </c>
      <c r="H229" s="7">
        <v>2</v>
      </c>
      <c r="I229" s="8">
        <v>89.99</v>
      </c>
      <c r="J229" s="6" t="s">
        <v>29</v>
      </c>
      <c r="K229" s="6" t="s">
        <v>60</v>
      </c>
      <c r="L229" s="6" t="s">
        <v>30</v>
      </c>
      <c r="M229" s="6" t="s">
        <v>55</v>
      </c>
      <c r="N229" s="8">
        <v>179.98</v>
      </c>
    </row>
    <row r="230" spans="1:14" ht="15" customHeight="1" x14ac:dyDescent="0.3">
      <c r="A230" s="3" t="s">
        <v>729</v>
      </c>
      <c r="B230" s="3" t="s">
        <v>728</v>
      </c>
      <c r="C230" s="3" t="s">
        <v>164</v>
      </c>
      <c r="D230" s="3" t="s">
        <v>165</v>
      </c>
      <c r="E230" s="3" t="s">
        <v>18</v>
      </c>
      <c r="F230" s="3" t="s">
        <v>19</v>
      </c>
      <c r="G230" s="3" t="s">
        <v>20</v>
      </c>
      <c r="H230" s="4">
        <v>5</v>
      </c>
      <c r="I230" s="5">
        <v>249.99</v>
      </c>
      <c r="J230" s="3" t="s">
        <v>21</v>
      </c>
      <c r="K230" s="3" t="s">
        <v>77</v>
      </c>
      <c r="L230" s="3" t="s">
        <v>41</v>
      </c>
      <c r="M230" s="3" t="s">
        <v>730</v>
      </c>
      <c r="N230" s="5">
        <v>1249.95</v>
      </c>
    </row>
    <row r="231" spans="1:14" ht="15" customHeight="1" x14ac:dyDescent="0.3">
      <c r="A231" s="6" t="s">
        <v>731</v>
      </c>
      <c r="B231" s="6" t="s">
        <v>732</v>
      </c>
      <c r="C231" s="6" t="s">
        <v>385</v>
      </c>
      <c r="D231" s="6" t="s">
        <v>386</v>
      </c>
      <c r="E231" s="6" t="s">
        <v>52</v>
      </c>
      <c r="F231" s="6" t="s">
        <v>53</v>
      </c>
      <c r="G231" s="6" t="s">
        <v>54</v>
      </c>
      <c r="H231" s="7">
        <v>2</v>
      </c>
      <c r="I231" s="8">
        <v>149.99</v>
      </c>
      <c r="J231" s="6" t="s">
        <v>39</v>
      </c>
      <c r="K231" s="6" t="s">
        <v>22</v>
      </c>
      <c r="L231" s="6" t="s">
        <v>30</v>
      </c>
      <c r="M231" s="6" t="s">
        <v>733</v>
      </c>
      <c r="N231" s="8">
        <v>299.98</v>
      </c>
    </row>
    <row r="232" spans="1:14" ht="15" customHeight="1" x14ac:dyDescent="0.3">
      <c r="A232" s="3" t="s">
        <v>734</v>
      </c>
      <c r="B232" s="3" t="s">
        <v>732</v>
      </c>
      <c r="C232" s="3" t="s">
        <v>207</v>
      </c>
      <c r="D232" s="3" t="s">
        <v>208</v>
      </c>
      <c r="E232" s="3" t="s">
        <v>75</v>
      </c>
      <c r="F232" s="3" t="s">
        <v>76</v>
      </c>
      <c r="G232" s="3" t="s">
        <v>20</v>
      </c>
      <c r="H232" s="4">
        <v>5</v>
      </c>
      <c r="I232" s="5">
        <v>899.99</v>
      </c>
      <c r="J232" s="3" t="s">
        <v>39</v>
      </c>
      <c r="K232" s="3" t="s">
        <v>77</v>
      </c>
      <c r="L232" s="3" t="s">
        <v>30</v>
      </c>
      <c r="M232" s="3" t="s">
        <v>294</v>
      </c>
      <c r="N232" s="5">
        <v>4499.95</v>
      </c>
    </row>
    <row r="233" spans="1:14" ht="15" customHeight="1" x14ac:dyDescent="0.3">
      <c r="A233" s="6" t="s">
        <v>735</v>
      </c>
      <c r="B233" s="6" t="s">
        <v>732</v>
      </c>
      <c r="C233" s="6" t="s">
        <v>67</v>
      </c>
      <c r="D233" s="6" t="s">
        <v>68</v>
      </c>
      <c r="E233" s="6" t="s">
        <v>52</v>
      </c>
      <c r="F233" s="6" t="s">
        <v>53</v>
      </c>
      <c r="G233" s="6" t="s">
        <v>54</v>
      </c>
      <c r="H233" s="7">
        <v>4</v>
      </c>
      <c r="I233" s="8">
        <v>149.99</v>
      </c>
      <c r="J233" s="6" t="s">
        <v>21</v>
      </c>
      <c r="K233" s="6" t="s">
        <v>22</v>
      </c>
      <c r="L233" s="6" t="s">
        <v>41</v>
      </c>
      <c r="M233" s="6" t="s">
        <v>736</v>
      </c>
      <c r="N233" s="8">
        <v>599.96</v>
      </c>
    </row>
    <row r="234" spans="1:14" ht="15" customHeight="1" x14ac:dyDescent="0.3">
      <c r="A234" s="3" t="s">
        <v>737</v>
      </c>
      <c r="B234" s="3" t="s">
        <v>738</v>
      </c>
      <c r="C234" s="3" t="s">
        <v>207</v>
      </c>
      <c r="D234" s="3" t="s">
        <v>208</v>
      </c>
      <c r="E234" s="3" t="s">
        <v>18</v>
      </c>
      <c r="F234" s="3" t="s">
        <v>19</v>
      </c>
      <c r="G234" s="3" t="s">
        <v>20</v>
      </c>
      <c r="H234" s="4">
        <v>1</v>
      </c>
      <c r="I234" s="5">
        <v>249.99</v>
      </c>
      <c r="J234" s="3" t="s">
        <v>21</v>
      </c>
      <c r="K234" s="3" t="s">
        <v>47</v>
      </c>
      <c r="L234" s="3" t="s">
        <v>41</v>
      </c>
      <c r="M234" s="3" t="s">
        <v>739</v>
      </c>
      <c r="N234" s="5">
        <v>249.99</v>
      </c>
    </row>
    <row r="235" spans="1:14" ht="15" customHeight="1" x14ac:dyDescent="0.3">
      <c r="A235" s="6" t="s">
        <v>740</v>
      </c>
      <c r="B235" s="6" t="s">
        <v>741</v>
      </c>
      <c r="C235" s="6" t="s">
        <v>304</v>
      </c>
      <c r="D235" s="6" t="s">
        <v>305</v>
      </c>
      <c r="E235" s="6" t="s">
        <v>36</v>
      </c>
      <c r="F235" s="6" t="s">
        <v>37</v>
      </c>
      <c r="G235" s="6" t="s">
        <v>38</v>
      </c>
      <c r="H235" s="7">
        <v>2</v>
      </c>
      <c r="I235" s="8">
        <v>59.99</v>
      </c>
      <c r="J235" s="6" t="s">
        <v>29</v>
      </c>
      <c r="K235" s="6" t="s">
        <v>60</v>
      </c>
      <c r="L235" s="6" t="s">
        <v>23</v>
      </c>
      <c r="M235" s="6" t="s">
        <v>742</v>
      </c>
      <c r="N235" s="8">
        <v>119.98</v>
      </c>
    </row>
    <row r="236" spans="1:14" ht="15" customHeight="1" x14ac:dyDescent="0.3">
      <c r="A236" s="3" t="s">
        <v>743</v>
      </c>
      <c r="B236" s="3" t="s">
        <v>744</v>
      </c>
      <c r="C236" s="3" t="s">
        <v>183</v>
      </c>
      <c r="D236" s="3" t="s">
        <v>184</v>
      </c>
      <c r="E236" s="3" t="s">
        <v>52</v>
      </c>
      <c r="F236" s="3" t="s">
        <v>53</v>
      </c>
      <c r="G236" s="3" t="s">
        <v>54</v>
      </c>
      <c r="H236" s="4">
        <v>2</v>
      </c>
      <c r="I236" s="5">
        <v>149.99</v>
      </c>
      <c r="J236" s="3" t="s">
        <v>21</v>
      </c>
      <c r="K236" s="3" t="s">
        <v>60</v>
      </c>
      <c r="L236" s="3" t="s">
        <v>30</v>
      </c>
      <c r="M236" s="3" t="s">
        <v>745</v>
      </c>
      <c r="N236" s="5">
        <v>299.98</v>
      </c>
    </row>
    <row r="237" spans="1:14" ht="15" customHeight="1" x14ac:dyDescent="0.3">
      <c r="A237" s="6" t="s">
        <v>746</v>
      </c>
      <c r="B237" s="6" t="s">
        <v>744</v>
      </c>
      <c r="C237" s="6" t="s">
        <v>217</v>
      </c>
      <c r="D237" s="6" t="s">
        <v>218</v>
      </c>
      <c r="E237" s="6" t="s">
        <v>75</v>
      </c>
      <c r="F237" s="6" t="s">
        <v>76</v>
      </c>
      <c r="G237" s="6" t="s">
        <v>20</v>
      </c>
      <c r="H237" s="7">
        <v>3</v>
      </c>
      <c r="I237" s="8">
        <v>899.99</v>
      </c>
      <c r="J237" s="6" t="s">
        <v>69</v>
      </c>
      <c r="K237" s="6" t="s">
        <v>47</v>
      </c>
      <c r="L237" s="6" t="s">
        <v>30</v>
      </c>
      <c r="M237" s="6" t="s">
        <v>747</v>
      </c>
      <c r="N237" s="8">
        <v>2699.97</v>
      </c>
    </row>
    <row r="238" spans="1:14" ht="15" customHeight="1" x14ac:dyDescent="0.3">
      <c r="A238" s="3" t="s">
        <v>748</v>
      </c>
      <c r="B238" s="3" t="s">
        <v>744</v>
      </c>
      <c r="C238" s="3" t="s">
        <v>58</v>
      </c>
      <c r="D238" s="3" t="s">
        <v>59</v>
      </c>
      <c r="E238" s="3" t="s">
        <v>75</v>
      </c>
      <c r="F238" s="3" t="s">
        <v>76</v>
      </c>
      <c r="G238" s="3" t="s">
        <v>20</v>
      </c>
      <c r="H238" s="4">
        <v>3</v>
      </c>
      <c r="I238" s="5">
        <v>899.99</v>
      </c>
      <c r="J238" s="3" t="s">
        <v>39</v>
      </c>
      <c r="K238" s="3" t="s">
        <v>47</v>
      </c>
      <c r="L238" s="3" t="s">
        <v>23</v>
      </c>
      <c r="M238" s="3" t="s">
        <v>749</v>
      </c>
      <c r="N238" s="5">
        <v>2699.97</v>
      </c>
    </row>
    <row r="239" spans="1:14" ht="15" customHeight="1" x14ac:dyDescent="0.3">
      <c r="A239" s="6" t="s">
        <v>750</v>
      </c>
      <c r="B239" s="6" t="s">
        <v>751</v>
      </c>
      <c r="C239" s="6" t="s">
        <v>16</v>
      </c>
      <c r="D239" s="6" t="s">
        <v>17</v>
      </c>
      <c r="E239" s="6" t="s">
        <v>141</v>
      </c>
      <c r="F239" s="6" t="s">
        <v>142</v>
      </c>
      <c r="G239" s="6" t="s">
        <v>54</v>
      </c>
      <c r="H239" s="7">
        <v>3</v>
      </c>
      <c r="I239" s="8">
        <v>299.99</v>
      </c>
      <c r="J239" s="6" t="s">
        <v>29</v>
      </c>
      <c r="K239" s="6" t="s">
        <v>60</v>
      </c>
      <c r="L239" s="6" t="s">
        <v>30</v>
      </c>
      <c r="M239" s="6" t="s">
        <v>752</v>
      </c>
      <c r="N239" s="8">
        <v>899.97</v>
      </c>
    </row>
    <row r="240" spans="1:14" ht="15" customHeight="1" x14ac:dyDescent="0.3">
      <c r="A240" s="3" t="s">
        <v>753</v>
      </c>
      <c r="B240" s="3" t="s">
        <v>754</v>
      </c>
      <c r="C240" s="3" t="s">
        <v>755</v>
      </c>
      <c r="D240" s="3" t="s">
        <v>756</v>
      </c>
      <c r="E240" s="3" t="s">
        <v>52</v>
      </c>
      <c r="F240" s="3" t="s">
        <v>53</v>
      </c>
      <c r="G240" s="3" t="s">
        <v>54</v>
      </c>
      <c r="H240" s="4">
        <v>4</v>
      </c>
      <c r="I240" s="5">
        <v>149.99</v>
      </c>
      <c r="J240" s="3" t="s">
        <v>39</v>
      </c>
      <c r="K240" s="3" t="s">
        <v>60</v>
      </c>
      <c r="L240" s="3" t="s">
        <v>41</v>
      </c>
      <c r="M240" s="3" t="s">
        <v>535</v>
      </c>
      <c r="N240" s="5">
        <v>599.96</v>
      </c>
    </row>
    <row r="241" spans="1:14" ht="15" customHeight="1" x14ac:dyDescent="0.3">
      <c r="A241" s="6" t="s">
        <v>757</v>
      </c>
      <c r="B241" s="6" t="s">
        <v>758</v>
      </c>
      <c r="C241" s="6" t="s">
        <v>136</v>
      </c>
      <c r="D241" s="6" t="s">
        <v>137</v>
      </c>
      <c r="E241" s="6" t="s">
        <v>155</v>
      </c>
      <c r="F241" s="6" t="s">
        <v>156</v>
      </c>
      <c r="G241" s="6" t="s">
        <v>38</v>
      </c>
      <c r="H241" s="7">
        <v>4</v>
      </c>
      <c r="I241" s="8">
        <v>79.989999999999995</v>
      </c>
      <c r="J241" s="6" t="s">
        <v>29</v>
      </c>
      <c r="K241" s="6" t="s">
        <v>22</v>
      </c>
      <c r="L241" s="6" t="s">
        <v>23</v>
      </c>
      <c r="M241" s="6" t="s">
        <v>759</v>
      </c>
      <c r="N241" s="8">
        <v>319.95999999999998</v>
      </c>
    </row>
    <row r="242" spans="1:14" ht="15" customHeight="1" x14ac:dyDescent="0.3">
      <c r="A242" s="3" t="s">
        <v>760</v>
      </c>
      <c r="B242" s="3" t="s">
        <v>761</v>
      </c>
      <c r="C242" s="3" t="s">
        <v>290</v>
      </c>
      <c r="D242" s="3" t="s">
        <v>291</v>
      </c>
      <c r="E242" s="3" t="s">
        <v>159</v>
      </c>
      <c r="F242" s="3" t="s">
        <v>160</v>
      </c>
      <c r="G242" s="3" t="s">
        <v>20</v>
      </c>
      <c r="H242" s="4">
        <v>5</v>
      </c>
      <c r="I242" s="5">
        <v>89.99</v>
      </c>
      <c r="J242" s="3" t="s">
        <v>39</v>
      </c>
      <c r="K242" s="3" t="s">
        <v>40</v>
      </c>
      <c r="L242" s="3" t="s">
        <v>23</v>
      </c>
      <c r="M242" s="3" t="s">
        <v>762</v>
      </c>
      <c r="N242" s="5">
        <v>449.95</v>
      </c>
    </row>
    <row r="243" spans="1:14" ht="15" customHeight="1" x14ac:dyDescent="0.3">
      <c r="A243" s="6" t="s">
        <v>763</v>
      </c>
      <c r="B243" s="6" t="s">
        <v>764</v>
      </c>
      <c r="C243" s="6" t="s">
        <v>121</v>
      </c>
      <c r="D243" s="6" t="s">
        <v>122</v>
      </c>
      <c r="E243" s="6" t="s">
        <v>52</v>
      </c>
      <c r="F243" s="6" t="s">
        <v>53</v>
      </c>
      <c r="G243" s="6" t="s">
        <v>54</v>
      </c>
      <c r="H243" s="7">
        <v>3</v>
      </c>
      <c r="I243" s="8">
        <v>149.99</v>
      </c>
      <c r="J243" s="6" t="s">
        <v>39</v>
      </c>
      <c r="K243" s="6" t="s">
        <v>22</v>
      </c>
      <c r="L243" s="6" t="s">
        <v>41</v>
      </c>
      <c r="M243" s="6" t="s">
        <v>765</v>
      </c>
      <c r="N243" s="8">
        <v>449.97</v>
      </c>
    </row>
    <row r="244" spans="1:14" ht="15" customHeight="1" x14ac:dyDescent="0.3">
      <c r="A244" s="3" t="s">
        <v>766</v>
      </c>
      <c r="B244" s="3" t="s">
        <v>764</v>
      </c>
      <c r="C244" s="3" t="s">
        <v>81</v>
      </c>
      <c r="D244" s="3" t="s">
        <v>82</v>
      </c>
      <c r="E244" s="3" t="s">
        <v>159</v>
      </c>
      <c r="F244" s="3" t="s">
        <v>160</v>
      </c>
      <c r="G244" s="3" t="s">
        <v>20</v>
      </c>
      <c r="H244" s="4">
        <v>2</v>
      </c>
      <c r="I244" s="5">
        <v>89.99</v>
      </c>
      <c r="J244" s="3" t="s">
        <v>69</v>
      </c>
      <c r="K244" s="3" t="s">
        <v>60</v>
      </c>
      <c r="L244" s="3" t="s">
        <v>30</v>
      </c>
      <c r="M244" s="3" t="s">
        <v>594</v>
      </c>
      <c r="N244" s="5">
        <v>179.98</v>
      </c>
    </row>
    <row r="245" spans="1:14" ht="15" customHeight="1" x14ac:dyDescent="0.3">
      <c r="A245" s="6" t="s">
        <v>767</v>
      </c>
      <c r="B245" s="6" t="s">
        <v>768</v>
      </c>
      <c r="C245" s="6" t="s">
        <v>136</v>
      </c>
      <c r="D245" s="6" t="s">
        <v>137</v>
      </c>
      <c r="E245" s="6" t="s">
        <v>102</v>
      </c>
      <c r="F245" s="6" t="s">
        <v>103</v>
      </c>
      <c r="G245" s="6" t="s">
        <v>20</v>
      </c>
      <c r="H245" s="7">
        <v>2</v>
      </c>
      <c r="I245" s="8">
        <v>699.99</v>
      </c>
      <c r="J245" s="6" t="s">
        <v>39</v>
      </c>
      <c r="K245" s="6" t="s">
        <v>47</v>
      </c>
      <c r="L245" s="6" t="s">
        <v>41</v>
      </c>
      <c r="M245" s="6" t="s">
        <v>441</v>
      </c>
      <c r="N245" s="8">
        <v>1399.98</v>
      </c>
    </row>
    <row r="246" spans="1:14" ht="15" customHeight="1" x14ac:dyDescent="0.3">
      <c r="A246" s="3" t="s">
        <v>769</v>
      </c>
      <c r="B246" s="3" t="s">
        <v>770</v>
      </c>
      <c r="C246" s="3" t="s">
        <v>169</v>
      </c>
      <c r="D246" s="3" t="s">
        <v>170</v>
      </c>
      <c r="E246" s="3" t="s">
        <v>75</v>
      </c>
      <c r="F246" s="3" t="s">
        <v>76</v>
      </c>
      <c r="G246" s="3" t="s">
        <v>20</v>
      </c>
      <c r="H246" s="4">
        <v>3</v>
      </c>
      <c r="I246" s="5">
        <v>899.99</v>
      </c>
      <c r="J246" s="3" t="s">
        <v>21</v>
      </c>
      <c r="K246" s="3" t="s">
        <v>22</v>
      </c>
      <c r="L246" s="3" t="s">
        <v>41</v>
      </c>
      <c r="M246" s="3" t="s">
        <v>455</v>
      </c>
      <c r="N246" s="5">
        <v>2699.97</v>
      </c>
    </row>
    <row r="247" spans="1:14" ht="15" customHeight="1" x14ac:dyDescent="0.3">
      <c r="A247" s="6" t="s">
        <v>771</v>
      </c>
      <c r="B247" s="6" t="s">
        <v>772</v>
      </c>
      <c r="C247" s="6" t="s">
        <v>121</v>
      </c>
      <c r="D247" s="6" t="s">
        <v>122</v>
      </c>
      <c r="E247" s="6" t="s">
        <v>155</v>
      </c>
      <c r="F247" s="6" t="s">
        <v>156</v>
      </c>
      <c r="G247" s="6" t="s">
        <v>38</v>
      </c>
      <c r="H247" s="7">
        <v>3</v>
      </c>
      <c r="I247" s="8">
        <v>79.989999999999995</v>
      </c>
      <c r="J247" s="6" t="s">
        <v>29</v>
      </c>
      <c r="K247" s="6" t="s">
        <v>47</v>
      </c>
      <c r="L247" s="6" t="s">
        <v>23</v>
      </c>
      <c r="M247" s="6" t="s">
        <v>773</v>
      </c>
      <c r="N247" s="8">
        <v>239.97</v>
      </c>
    </row>
    <row r="248" spans="1:14" ht="15" customHeight="1" x14ac:dyDescent="0.3">
      <c r="A248" s="3" t="s">
        <v>774</v>
      </c>
      <c r="B248" s="3" t="s">
        <v>775</v>
      </c>
      <c r="C248" s="3" t="s">
        <v>73</v>
      </c>
      <c r="D248" s="3" t="s">
        <v>74</v>
      </c>
      <c r="E248" s="3" t="s">
        <v>159</v>
      </c>
      <c r="F248" s="3" t="s">
        <v>160</v>
      </c>
      <c r="G248" s="3" t="s">
        <v>20</v>
      </c>
      <c r="H248" s="4">
        <v>1</v>
      </c>
      <c r="I248" s="5">
        <v>89.99</v>
      </c>
      <c r="J248" s="3" t="s">
        <v>69</v>
      </c>
      <c r="K248" s="3" t="s">
        <v>77</v>
      </c>
      <c r="L248" s="3" t="s">
        <v>23</v>
      </c>
      <c r="M248" s="3" t="s">
        <v>776</v>
      </c>
      <c r="N248" s="5">
        <v>89.99</v>
      </c>
    </row>
    <row r="249" spans="1:14" ht="15" customHeight="1" x14ac:dyDescent="0.3">
      <c r="A249" s="6" t="s">
        <v>777</v>
      </c>
      <c r="B249" s="6" t="s">
        <v>778</v>
      </c>
      <c r="C249" s="6" t="s">
        <v>540</v>
      </c>
      <c r="D249" s="6" t="s">
        <v>541</v>
      </c>
      <c r="E249" s="6" t="s">
        <v>102</v>
      </c>
      <c r="F249" s="6" t="s">
        <v>103</v>
      </c>
      <c r="G249" s="6" t="s">
        <v>20</v>
      </c>
      <c r="H249" s="7">
        <v>3</v>
      </c>
      <c r="I249" s="8">
        <v>699.99</v>
      </c>
      <c r="J249" s="6" t="s">
        <v>39</v>
      </c>
      <c r="K249" s="6" t="s">
        <v>47</v>
      </c>
      <c r="L249" s="6" t="s">
        <v>23</v>
      </c>
      <c r="M249" s="6" t="s">
        <v>302</v>
      </c>
      <c r="N249" s="8">
        <v>2099.9699999999998</v>
      </c>
    </row>
    <row r="250" spans="1:14" ht="15" customHeight="1" x14ac:dyDescent="0.3">
      <c r="A250" s="3" t="s">
        <v>779</v>
      </c>
      <c r="B250" s="3" t="s">
        <v>778</v>
      </c>
      <c r="C250" s="3" t="s">
        <v>385</v>
      </c>
      <c r="D250" s="3" t="s">
        <v>386</v>
      </c>
      <c r="E250" s="3" t="s">
        <v>159</v>
      </c>
      <c r="F250" s="3" t="s">
        <v>160</v>
      </c>
      <c r="G250" s="3" t="s">
        <v>20</v>
      </c>
      <c r="H250" s="4">
        <v>2</v>
      </c>
      <c r="I250" s="5">
        <v>89.99</v>
      </c>
      <c r="J250" s="3" t="s">
        <v>69</v>
      </c>
      <c r="K250" s="3" t="s">
        <v>77</v>
      </c>
      <c r="L250" s="3" t="s">
        <v>23</v>
      </c>
      <c r="M250" s="3" t="s">
        <v>780</v>
      </c>
      <c r="N250" s="5">
        <v>179.98</v>
      </c>
    </row>
    <row r="251" spans="1:14" ht="15" customHeight="1" x14ac:dyDescent="0.3">
      <c r="A251" s="6" t="s">
        <v>781</v>
      </c>
      <c r="B251" s="6" t="s">
        <v>778</v>
      </c>
      <c r="C251" s="6" t="s">
        <v>197</v>
      </c>
      <c r="D251" s="6" t="s">
        <v>198</v>
      </c>
      <c r="E251" s="6" t="s">
        <v>159</v>
      </c>
      <c r="F251" s="6" t="s">
        <v>160</v>
      </c>
      <c r="G251" s="6" t="s">
        <v>20</v>
      </c>
      <c r="H251" s="7">
        <v>3</v>
      </c>
      <c r="I251" s="8">
        <v>89.99</v>
      </c>
      <c r="J251" s="6" t="s">
        <v>69</v>
      </c>
      <c r="K251" s="6" t="s">
        <v>47</v>
      </c>
      <c r="L251" s="6" t="s">
        <v>30</v>
      </c>
      <c r="M251" s="6" t="s">
        <v>782</v>
      </c>
      <c r="N251" s="8">
        <v>269.97000000000003</v>
      </c>
    </row>
  </sheetData>
  <autoFilter ref="A1:N1"/>
  <conditionalFormatting sqref="N2:N251">
    <cfRule type="dataBar" priority="2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{DC705C21-8C29-4D8D-8340-D1F5A01264E7}</x14:id>
        </ext>
      </extLst>
    </cfRule>
    <cfRule type="cellIs" dxfId="0" priority="3" operator="greaterThan">
      <formula>2000</formula>
    </cfRule>
  </conditionalFormatting>
  <conditionalFormatting sqref="H2:H251">
    <cfRule type="iconSet" priority="4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705C21-8C29-4D8D-8340-D1F5A01264E7}">
            <x14:dataBar axisPosition="none">
              <x14:cfvo type="min"/>
              <x14:cfvo type="max"/>
              <x14:negativeFillColor rgb="FF2E75B6"/>
            </x14:dataBar>
          </x14:cfRule>
          <xm:sqref>N2:N251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148"/>
  <sheetViews>
    <sheetView showGridLines="0" topLeftCell="A67" zoomScaleNormal="100" workbookViewId="0">
      <selection activeCell="A85" sqref="A85:H85"/>
    </sheetView>
  </sheetViews>
  <sheetFormatPr defaultColWidth="8.6640625" defaultRowHeight="14.4" x14ac:dyDescent="0.3"/>
  <cols>
    <col min="1" max="8" width="18" style="1" customWidth="1"/>
  </cols>
  <sheetData>
    <row r="1" spans="1:6" ht="27.75" customHeight="1" x14ac:dyDescent="0.3">
      <c r="A1" s="35" t="s">
        <v>783</v>
      </c>
      <c r="B1" s="35"/>
      <c r="C1" s="35"/>
      <c r="D1" s="35"/>
      <c r="E1" s="35"/>
      <c r="F1" s="35"/>
    </row>
    <row r="2" spans="1:6" ht="15" customHeight="1" x14ac:dyDescent="0.3">
      <c r="A2" s="36" t="s">
        <v>784</v>
      </c>
      <c r="B2" s="36"/>
      <c r="C2" s="36"/>
      <c r="D2" s="36" t="s">
        <v>785</v>
      </c>
      <c r="E2" s="36"/>
      <c r="F2" s="36"/>
    </row>
    <row r="3" spans="1:6" ht="15" customHeight="1" x14ac:dyDescent="0.3">
      <c r="A3" s="37" t="s">
        <v>786</v>
      </c>
      <c r="B3" s="37"/>
      <c r="C3" s="37"/>
      <c r="D3" s="38">
        <f ca="1">TODAY()</f>
        <v>46110</v>
      </c>
      <c r="E3" s="38"/>
      <c r="F3" s="38"/>
    </row>
    <row r="4" spans="1:6" ht="15" customHeight="1" x14ac:dyDescent="0.3">
      <c r="A4" s="39" t="s">
        <v>787</v>
      </c>
      <c r="B4" s="39"/>
      <c r="C4" s="39"/>
      <c r="D4" s="40">
        <f ca="1">NOW()</f>
        <v>46110.452635300928</v>
      </c>
      <c r="E4" s="40"/>
      <c r="F4" s="40"/>
    </row>
    <row r="5" spans="1:6" ht="15" customHeight="1" x14ac:dyDescent="0.3">
      <c r="A5" s="37" t="s">
        <v>788</v>
      </c>
      <c r="B5" s="37"/>
      <c r="C5" s="37"/>
      <c r="D5" s="41" t="str">
        <f ca="1">TEXT(NOW(),"DD-MMM-YYYY HH:MM")</f>
        <v>29-Mar-2026 10:51</v>
      </c>
      <c r="E5" s="41"/>
      <c r="F5" s="41"/>
    </row>
    <row r="6" spans="1:6" ht="15" customHeight="1" x14ac:dyDescent="0.3">
      <c r="A6" s="39" t="s">
        <v>789</v>
      </c>
      <c r="B6" s="39"/>
      <c r="C6" s="39"/>
      <c r="D6" s="42">
        <f>MIN('Raw Data'!B:B)</f>
        <v>0</v>
      </c>
      <c r="E6" s="42"/>
      <c r="F6" s="42"/>
    </row>
    <row r="7" spans="1:6" ht="15" customHeight="1" x14ac:dyDescent="0.3">
      <c r="A7" s="37" t="s">
        <v>790</v>
      </c>
      <c r="B7" s="37"/>
      <c r="C7" s="37"/>
      <c r="D7" s="38">
        <f>MAX('Raw Data'!B:B)</f>
        <v>0</v>
      </c>
      <c r="E7" s="38"/>
      <c r="F7" s="38"/>
    </row>
    <row r="8" spans="1:6" ht="15" customHeight="1" x14ac:dyDescent="0.3">
      <c r="A8" s="39" t="s">
        <v>791</v>
      </c>
      <c r="B8" s="39"/>
      <c r="C8" s="39"/>
      <c r="D8" s="43">
        <f>DATEDIF(MIN('Raw Data'!B:B),MAX('Raw Data'!B:B),"D")</f>
        <v>0</v>
      </c>
      <c r="E8" s="43"/>
      <c r="F8" s="43"/>
    </row>
    <row r="9" spans="1:6" ht="15" customHeight="1" x14ac:dyDescent="0.3">
      <c r="A9" s="37" t="s">
        <v>792</v>
      </c>
      <c r="B9" s="37"/>
      <c r="C9" s="37"/>
      <c r="D9" s="38">
        <f>EOMONTH(MAX('Raw Data'!B:B),0)</f>
        <v>31</v>
      </c>
      <c r="E9" s="38"/>
      <c r="F9" s="38"/>
    </row>
    <row r="10" spans="1:6" ht="15" customHeight="1" x14ac:dyDescent="0.3">
      <c r="A10" s="39" t="s">
        <v>793</v>
      </c>
      <c r="B10" s="39"/>
      <c r="C10" s="39"/>
      <c r="D10" s="43">
        <f>DATEDIF(MIN('Raw Data'!B:B),MAX('Raw Data'!B:B),"M")</f>
        <v>0</v>
      </c>
      <c r="E10" s="43"/>
      <c r="F10" s="43"/>
    </row>
    <row r="13" spans="1:6" ht="27.75" customHeight="1" x14ac:dyDescent="0.3">
      <c r="A13" s="35" t="s">
        <v>794</v>
      </c>
      <c r="B13" s="35"/>
      <c r="C13" s="35"/>
      <c r="D13" s="35"/>
      <c r="E13" s="35"/>
      <c r="F13" s="35"/>
    </row>
    <row r="14" spans="1:6" ht="15" customHeight="1" x14ac:dyDescent="0.3">
      <c r="A14" s="36" t="s">
        <v>795</v>
      </c>
      <c r="B14" s="36"/>
      <c r="C14" s="36"/>
      <c r="D14" s="36" t="s">
        <v>785</v>
      </c>
      <c r="E14" s="36"/>
      <c r="F14" s="36"/>
    </row>
    <row r="15" spans="1:6" ht="15" customHeight="1" x14ac:dyDescent="0.3">
      <c r="A15" s="37" t="s">
        <v>796</v>
      </c>
      <c r="B15" s="37"/>
      <c r="C15" s="37"/>
      <c r="D15" s="44">
        <f>SUM('Raw Data'!N2:N10000)</f>
        <v>229192.47000000032</v>
      </c>
      <c r="E15" s="44"/>
      <c r="F15" s="44"/>
    </row>
    <row r="16" spans="1:6" ht="15" customHeight="1" x14ac:dyDescent="0.3">
      <c r="A16" s="39" t="s">
        <v>797</v>
      </c>
      <c r="B16" s="39"/>
      <c r="C16" s="39"/>
      <c r="D16" s="45">
        <f>COUNTA('Raw Data'!A2:A10000)</f>
        <v>250</v>
      </c>
      <c r="E16" s="45"/>
      <c r="F16" s="45"/>
    </row>
    <row r="17" spans="1:6" ht="15" customHeight="1" x14ac:dyDescent="0.3">
      <c r="A17" s="37" t="s">
        <v>798</v>
      </c>
      <c r="B17" s="37"/>
      <c r="C17" s="37"/>
      <c r="D17" s="44">
        <f>IFERROR(AVERAGE('Raw Data'!N2:N10000),0)</f>
        <v>916.76988000000131</v>
      </c>
      <c r="E17" s="44"/>
      <c r="F17" s="44"/>
    </row>
    <row r="18" spans="1:6" ht="15" customHeight="1" x14ac:dyDescent="0.3">
      <c r="A18" s="39" t="s">
        <v>799</v>
      </c>
      <c r="B18" s="39"/>
      <c r="C18" s="39"/>
      <c r="D18" s="45">
        <f>SUM('Raw Data'!H2:H10000)</f>
        <v>753</v>
      </c>
      <c r="E18" s="45"/>
      <c r="F18" s="45"/>
    </row>
    <row r="19" spans="1:6" ht="15" customHeight="1" x14ac:dyDescent="0.3">
      <c r="A19" s="37" t="s">
        <v>800</v>
      </c>
      <c r="B19" s="37"/>
      <c r="C19" s="37"/>
      <c r="D19" s="46">
        <f>SUMPRODUCT(1/COUNTIF('Raw Data'!C2:C251,'Raw Data'!C2:C251))</f>
        <v>50.000000000000028</v>
      </c>
      <c r="E19" s="46"/>
      <c r="F19" s="46"/>
    </row>
    <row r="20" spans="1:6" ht="15" customHeight="1" x14ac:dyDescent="0.3">
      <c r="A20" s="39" t="s">
        <v>801</v>
      </c>
      <c r="B20" s="39"/>
      <c r="C20" s="39"/>
      <c r="D20" s="45">
        <f>SUMPRODUCT(1/COUNTIF('Raw Data'!E2:E251,'Raw Data'!E2:E251))</f>
        <v>9.9999999999999911</v>
      </c>
      <c r="E20" s="45"/>
      <c r="F20" s="45"/>
    </row>
    <row r="21" spans="1:6" ht="15" customHeight="1" x14ac:dyDescent="0.3">
      <c r="A21" s="37" t="s">
        <v>802</v>
      </c>
      <c r="B21" s="37"/>
      <c r="C21" s="37"/>
      <c r="D21" s="44">
        <f>MAX('Raw Data'!N2:N10000)</f>
        <v>4499.95</v>
      </c>
      <c r="E21" s="44"/>
      <c r="F21" s="44"/>
    </row>
    <row r="22" spans="1:6" ht="15" customHeight="1" x14ac:dyDescent="0.3">
      <c r="A22" s="39" t="s">
        <v>803</v>
      </c>
      <c r="B22" s="39"/>
      <c r="C22" s="39"/>
      <c r="D22" s="47">
        <f>MIN('Raw Data'!N2:N10000)</f>
        <v>59.99</v>
      </c>
      <c r="E22" s="47"/>
      <c r="F22" s="47"/>
    </row>
    <row r="25" spans="1:6" ht="27.75" customHeight="1" x14ac:dyDescent="0.3">
      <c r="A25" s="35" t="s">
        <v>804</v>
      </c>
      <c r="B25" s="35"/>
      <c r="C25" s="35"/>
      <c r="D25" s="35"/>
      <c r="E25" s="35"/>
      <c r="F25" s="35"/>
    </row>
    <row r="26" spans="1:6" ht="15" customHeight="1" x14ac:dyDescent="0.3">
      <c r="A26" s="9" t="s">
        <v>6</v>
      </c>
      <c r="B26" s="9" t="s">
        <v>805</v>
      </c>
      <c r="C26" s="9" t="s">
        <v>806</v>
      </c>
      <c r="D26" s="9" t="s">
        <v>807</v>
      </c>
      <c r="E26" s="9" t="s">
        <v>808</v>
      </c>
      <c r="F26" s="9" t="s">
        <v>809</v>
      </c>
    </row>
    <row r="27" spans="1:6" ht="15" customHeight="1" x14ac:dyDescent="0.3">
      <c r="A27" s="11" t="s">
        <v>20</v>
      </c>
      <c r="B27" s="12">
        <f>SUMIF('Raw Data'!G:G,A27,'Raw Data'!N:N)</f>
        <v>171756.05000000013</v>
      </c>
      <c r="C27" s="13">
        <f>COUNTIF('Raw Data'!G:G,A27)</f>
        <v>131</v>
      </c>
      <c r="D27" s="13">
        <f>SUMIF('Raw Data'!G:G,A27,'Raw Data'!H:H)</f>
        <v>395</v>
      </c>
      <c r="E27" s="12">
        <f>IFERROR(B27/C27,0)</f>
        <v>1311.1148854961841</v>
      </c>
      <c r="F27" s="14">
        <f>IFERROR(B27/SUM(B27:B29),0)</f>
        <v>0.74939656612627814</v>
      </c>
    </row>
    <row r="28" spans="1:6" ht="15" customHeight="1" x14ac:dyDescent="0.3">
      <c r="A28" s="15" t="s">
        <v>54</v>
      </c>
      <c r="B28" s="16">
        <f>SUMIF('Raw Data'!G:G,A28,'Raw Data'!N:N)</f>
        <v>49097.680000000015</v>
      </c>
      <c r="C28" s="17">
        <f>COUNTIF('Raw Data'!G:G,A28)</f>
        <v>76</v>
      </c>
      <c r="D28" s="17">
        <f>SUMIF('Raw Data'!G:G,A28,'Raw Data'!H:H)</f>
        <v>232</v>
      </c>
      <c r="E28" s="16">
        <f>IFERROR(B28/C28,0)</f>
        <v>646.0221052631581</v>
      </c>
      <c r="F28" s="18">
        <f>IFERROR(B28/SUM(B27:B29),0)</f>
        <v>0.214220301391228</v>
      </c>
    </row>
    <row r="29" spans="1:6" ht="15" customHeight="1" x14ac:dyDescent="0.3">
      <c r="A29" s="11" t="s">
        <v>38</v>
      </c>
      <c r="B29" s="12">
        <f>SUMIF('Raw Data'!G:G,A29,'Raw Data'!N:N)</f>
        <v>8338.7399999999961</v>
      </c>
      <c r="C29" s="13">
        <f>COUNTIF('Raw Data'!G:G,A29)</f>
        <v>43</v>
      </c>
      <c r="D29" s="13">
        <f>SUMIF('Raw Data'!G:G,A29,'Raw Data'!H:H)</f>
        <v>126</v>
      </c>
      <c r="E29" s="12">
        <f>IFERROR(B29/C29,0)</f>
        <v>193.92418604651155</v>
      </c>
      <c r="F29" s="14">
        <f>IFERROR(B29/SUM(B27:B29),0)</f>
        <v>3.6383132482493821E-2</v>
      </c>
    </row>
    <row r="31" spans="1:6" ht="27.75" customHeight="1" x14ac:dyDescent="0.3">
      <c r="A31" s="35" t="s">
        <v>810</v>
      </c>
      <c r="B31" s="35"/>
      <c r="C31" s="35"/>
      <c r="D31" s="35"/>
      <c r="E31" s="35"/>
      <c r="F31" s="35"/>
    </row>
    <row r="32" spans="1:6" ht="15" customHeight="1" x14ac:dyDescent="0.3">
      <c r="A32" s="9" t="s">
        <v>10</v>
      </c>
      <c r="B32" s="9" t="s">
        <v>805</v>
      </c>
      <c r="C32" s="9" t="s">
        <v>806</v>
      </c>
      <c r="D32" s="9" t="s">
        <v>807</v>
      </c>
      <c r="E32" s="9" t="s">
        <v>808</v>
      </c>
      <c r="F32" s="9" t="s">
        <v>809</v>
      </c>
    </row>
    <row r="33" spans="1:8" ht="15" customHeight="1" x14ac:dyDescent="0.3">
      <c r="A33" s="11" t="s">
        <v>22</v>
      </c>
      <c r="B33" s="12">
        <f>SUMIF('Raw Data'!K:K,A33,'Raw Data'!N:N)</f>
        <v>41288.340000000018</v>
      </c>
      <c r="C33" s="13">
        <f>COUNTIF('Raw Data'!K:K,A33)</f>
        <v>54</v>
      </c>
      <c r="D33" s="13">
        <f>SUMIF('Raw Data'!K:K,A33,'Raw Data'!H:H)</f>
        <v>166</v>
      </c>
      <c r="E33" s="12">
        <f>IFERROR(B33/C33,0)</f>
        <v>764.59888888888918</v>
      </c>
      <c r="F33" s="14">
        <f>IFERROR(B33/SUM(B33:B37),0)</f>
        <v>0.18014701791904422</v>
      </c>
    </row>
    <row r="34" spans="1:8" ht="15" customHeight="1" x14ac:dyDescent="0.3">
      <c r="A34" s="15" t="s">
        <v>77</v>
      </c>
      <c r="B34" s="16">
        <f>SUMIF('Raw Data'!K:K,A34,'Raw Data'!N:N)</f>
        <v>59288.389999999992</v>
      </c>
      <c r="C34" s="17">
        <f>COUNTIF('Raw Data'!K:K,A34)</f>
        <v>48</v>
      </c>
      <c r="D34" s="17">
        <f>SUMIF('Raw Data'!K:K,A34,'Raw Data'!H:H)</f>
        <v>161</v>
      </c>
      <c r="E34" s="16">
        <f>IFERROR(B34/C34,0)</f>
        <v>1235.1747916666666</v>
      </c>
      <c r="F34" s="18">
        <f>IFERROR(B34/SUM(B33:B37),0)</f>
        <v>0.25868384768487368</v>
      </c>
    </row>
    <row r="35" spans="1:8" ht="15" customHeight="1" x14ac:dyDescent="0.3">
      <c r="A35" s="11" t="s">
        <v>47</v>
      </c>
      <c r="B35" s="12">
        <f>SUMIF('Raw Data'!K:K,A35,'Raw Data'!N:N)</f>
        <v>50808.310000000012</v>
      </c>
      <c r="C35" s="13">
        <f>COUNTIF('Raw Data'!K:K,A35)</f>
        <v>59</v>
      </c>
      <c r="D35" s="13">
        <f>SUMIF('Raw Data'!K:K,A35,'Raw Data'!H:H)</f>
        <v>169</v>
      </c>
      <c r="E35" s="12">
        <f>IFERROR(B35/C35,0)</f>
        <v>861.15779661016973</v>
      </c>
      <c r="F35" s="14">
        <f>IFERROR(B35/SUM(B33:B37),0)</f>
        <v>0.221684028275449</v>
      </c>
    </row>
    <row r="36" spans="1:8" ht="15" customHeight="1" x14ac:dyDescent="0.3">
      <c r="A36" s="15" t="s">
        <v>40</v>
      </c>
      <c r="B36" s="16">
        <f>SUMIF('Raw Data'!K:K,A36,'Raw Data'!N:N)</f>
        <v>36398.750000000007</v>
      </c>
      <c r="C36" s="17">
        <f>COUNTIF('Raw Data'!K:K,A36)</f>
        <v>42</v>
      </c>
      <c r="D36" s="17">
        <f>SUMIF('Raw Data'!K:K,A36,'Raw Data'!H:H)</f>
        <v>125</v>
      </c>
      <c r="E36" s="16">
        <f>IFERROR(B36/C36,0)</f>
        <v>866.63690476190493</v>
      </c>
      <c r="F36" s="18">
        <f>IFERROR(B36/SUM(B33:B37),0)</f>
        <v>0.1588130273215346</v>
      </c>
    </row>
    <row r="37" spans="1:8" ht="15" customHeight="1" x14ac:dyDescent="0.3">
      <c r="A37" s="11" t="s">
        <v>60</v>
      </c>
      <c r="B37" s="12">
        <f>SUMIF('Raw Data'!K:K,A37,'Raw Data'!N:N)</f>
        <v>41408.680000000015</v>
      </c>
      <c r="C37" s="13">
        <f>COUNTIF('Raw Data'!K:K,A37)</f>
        <v>47</v>
      </c>
      <c r="D37" s="13">
        <f>SUMIF('Raw Data'!K:K,A37,'Raw Data'!H:H)</f>
        <v>132</v>
      </c>
      <c r="E37" s="12">
        <f>IFERROR(B37/C37,0)</f>
        <v>881.03574468085139</v>
      </c>
      <c r="F37" s="14">
        <f>IFERROR(B37/SUM(B33:B37),0)</f>
        <v>0.18067207879909844</v>
      </c>
    </row>
    <row r="40" spans="1:8" ht="27.75" customHeight="1" x14ac:dyDescent="0.3">
      <c r="A40" s="35" t="s">
        <v>811</v>
      </c>
      <c r="B40" s="35"/>
      <c r="C40" s="35"/>
      <c r="D40" s="35"/>
      <c r="E40" s="35"/>
      <c r="F40" s="35"/>
    </row>
    <row r="41" spans="1:8" ht="15" customHeight="1" x14ac:dyDescent="0.3">
      <c r="A41" s="9" t="s">
        <v>812</v>
      </c>
      <c r="B41" s="9" t="s">
        <v>805</v>
      </c>
      <c r="C41" s="9" t="s">
        <v>806</v>
      </c>
      <c r="D41" s="9" t="s">
        <v>808</v>
      </c>
      <c r="E41" s="9" t="s">
        <v>813</v>
      </c>
      <c r="F41" s="9" t="s">
        <v>814</v>
      </c>
    </row>
    <row r="42" spans="1:8" ht="15" customHeight="1" x14ac:dyDescent="0.3">
      <c r="A42" s="15" t="s">
        <v>23</v>
      </c>
      <c r="B42" s="16">
        <f>SUMIF('Raw Data'!L:L,A42,'Raw Data'!N:N)</f>
        <v>62177.810000000019</v>
      </c>
      <c r="C42" s="17">
        <f>COUNTIF('Raw Data'!L:L,A42)</f>
        <v>74</v>
      </c>
      <c r="D42" s="16">
        <f>IFERROR(B42/C42,0)</f>
        <v>840.2406756756759</v>
      </c>
      <c r="E42" s="18">
        <f>IFERROR(B42/SUM(B42:B44),0)</f>
        <v>0.27129080636898761</v>
      </c>
      <c r="F42" s="17">
        <f>RANK(B42,B42:B44,0)</f>
        <v>3</v>
      </c>
    </row>
    <row r="43" spans="1:8" ht="15" customHeight="1" x14ac:dyDescent="0.3">
      <c r="A43" s="11" t="s">
        <v>30</v>
      </c>
      <c r="B43" s="12">
        <f>SUMIF('Raw Data'!L:L,A43,'Raw Data'!N:N)</f>
        <v>84657.12000000001</v>
      </c>
      <c r="C43" s="13">
        <f>COUNTIF('Raw Data'!L:L,A43)</f>
        <v>95</v>
      </c>
      <c r="D43" s="12">
        <f>IFERROR(B43/C43,0)</f>
        <v>891.12757894736853</v>
      </c>
      <c r="E43" s="14">
        <f>IFERROR(B43/SUM(B42:B44),0)</f>
        <v>0.36937129740780744</v>
      </c>
      <c r="F43" s="13">
        <f>RANK(B43,B42:B44,0)</f>
        <v>1</v>
      </c>
    </row>
    <row r="44" spans="1:8" ht="15" customHeight="1" x14ac:dyDescent="0.3">
      <c r="A44" s="15" t="s">
        <v>41</v>
      </c>
      <c r="B44" s="16">
        <f>SUMIF('Raw Data'!L:L,A44,'Raw Data'!N:N)</f>
        <v>82357.540000000037</v>
      </c>
      <c r="C44" s="17">
        <f>COUNTIF('Raw Data'!L:L,A44)</f>
        <v>81</v>
      </c>
      <c r="D44" s="16">
        <f>IFERROR(B44/C44,0)</f>
        <v>1016.7597530864202</v>
      </c>
      <c r="E44" s="18">
        <f>IFERROR(B44/SUM(B42:B44),0)</f>
        <v>0.35933789622320494</v>
      </c>
      <c r="F44" s="17">
        <f>RANK(B44,B42:B44,0)</f>
        <v>2</v>
      </c>
    </row>
    <row r="47" spans="1:8" ht="27.75" customHeight="1" x14ac:dyDescent="0.3">
      <c r="A47" s="35" t="s">
        <v>815</v>
      </c>
      <c r="B47" s="35"/>
      <c r="C47" s="35"/>
      <c r="D47" s="35"/>
      <c r="E47" s="35"/>
      <c r="F47" s="35"/>
      <c r="G47" s="35"/>
      <c r="H47" s="35"/>
    </row>
    <row r="48" spans="1:8" ht="15" customHeight="1" x14ac:dyDescent="0.3">
      <c r="A48" s="9" t="s">
        <v>814</v>
      </c>
      <c r="B48" s="9" t="s">
        <v>816</v>
      </c>
      <c r="C48" s="9" t="s">
        <v>817</v>
      </c>
      <c r="D48" s="9" t="s">
        <v>796</v>
      </c>
      <c r="E48" s="9" t="s">
        <v>806</v>
      </c>
      <c r="F48" s="9" t="s">
        <v>808</v>
      </c>
      <c r="G48" s="9" t="s">
        <v>812</v>
      </c>
      <c r="H48" s="9" t="s">
        <v>10</v>
      </c>
    </row>
    <row r="49" spans="1:8" ht="15" customHeight="1" x14ac:dyDescent="0.3">
      <c r="A49" s="11">
        <v>1</v>
      </c>
      <c r="B49" s="19" t="s">
        <v>112</v>
      </c>
      <c r="C49" s="19" t="s">
        <v>111</v>
      </c>
      <c r="D49" s="12">
        <f>SUMIF('Raw Data'!C:C,C49,'Raw Data'!N:N)</f>
        <v>15659.65</v>
      </c>
      <c r="E49" s="13">
        <f>COUNTIF('Raw Data'!C:C,C49)</f>
        <v>12</v>
      </c>
      <c r="F49" s="12">
        <f t="shared" ref="F49:F58" si="0">IFERROR(D49/E49,0)</f>
        <v>1304.9708333333333</v>
      </c>
      <c r="G49" s="19" t="s">
        <v>41</v>
      </c>
      <c r="H49" s="19" t="s">
        <v>60</v>
      </c>
    </row>
    <row r="50" spans="1:8" ht="15" customHeight="1" x14ac:dyDescent="0.3">
      <c r="A50" s="15">
        <v>2</v>
      </c>
      <c r="B50" s="20" t="s">
        <v>170</v>
      </c>
      <c r="C50" s="20" t="s">
        <v>169</v>
      </c>
      <c r="D50" s="16">
        <f>SUMIF('Raw Data'!C:C,C50,'Raw Data'!N:N)</f>
        <v>11919.769999999999</v>
      </c>
      <c r="E50" s="17">
        <f>COUNTIF('Raw Data'!C:C,C50)</f>
        <v>6</v>
      </c>
      <c r="F50" s="16">
        <f t="shared" si="0"/>
        <v>1986.6283333333331</v>
      </c>
      <c r="G50" s="20" t="s">
        <v>41</v>
      </c>
      <c r="H50" s="20" t="s">
        <v>22</v>
      </c>
    </row>
    <row r="51" spans="1:8" ht="15" customHeight="1" x14ac:dyDescent="0.3">
      <c r="A51" s="11">
        <v>3</v>
      </c>
      <c r="B51" s="19" t="s">
        <v>127</v>
      </c>
      <c r="C51" s="19" t="s">
        <v>126</v>
      </c>
      <c r="D51" s="12">
        <f>SUMIF('Raw Data'!C:C,C51,'Raw Data'!N:N)</f>
        <v>10649.8</v>
      </c>
      <c r="E51" s="13">
        <f>COUNTIF('Raw Data'!C:C,C51)</f>
        <v>5</v>
      </c>
      <c r="F51" s="12">
        <f t="shared" si="0"/>
        <v>2129.96</v>
      </c>
      <c r="G51" s="19" t="s">
        <v>41</v>
      </c>
      <c r="H51" s="19" t="s">
        <v>77</v>
      </c>
    </row>
    <row r="52" spans="1:8" ht="15" customHeight="1" x14ac:dyDescent="0.3">
      <c r="A52" s="15">
        <v>4</v>
      </c>
      <c r="B52" s="20" t="s">
        <v>132</v>
      </c>
      <c r="C52" s="20" t="s">
        <v>131</v>
      </c>
      <c r="D52" s="16">
        <f>SUMIF('Raw Data'!C:C,C52,'Raw Data'!N:N)</f>
        <v>9799.73</v>
      </c>
      <c r="E52" s="17">
        <f>COUNTIF('Raw Data'!C:C,C52)</f>
        <v>8</v>
      </c>
      <c r="F52" s="16">
        <f t="shared" si="0"/>
        <v>1224.9662499999999</v>
      </c>
      <c r="G52" s="20" t="s">
        <v>41</v>
      </c>
      <c r="H52" s="20" t="s">
        <v>60</v>
      </c>
    </row>
    <row r="53" spans="1:8" ht="15" customHeight="1" x14ac:dyDescent="0.3">
      <c r="A53" s="11">
        <v>5</v>
      </c>
      <c r="B53" s="19" t="s">
        <v>17</v>
      </c>
      <c r="C53" s="19" t="s">
        <v>16</v>
      </c>
      <c r="D53" s="12">
        <f>SUMIF('Raw Data'!C:C,C53,'Raw Data'!N:N)</f>
        <v>8309.739999999998</v>
      </c>
      <c r="E53" s="13">
        <f>COUNTIF('Raw Data'!C:C,C53)</f>
        <v>8</v>
      </c>
      <c r="F53" s="12">
        <f t="shared" si="0"/>
        <v>1038.7174999999997</v>
      </c>
      <c r="G53" s="19" t="s">
        <v>30</v>
      </c>
      <c r="H53" s="19" t="s">
        <v>60</v>
      </c>
    </row>
    <row r="54" spans="1:8" ht="15" customHeight="1" x14ac:dyDescent="0.3">
      <c r="A54" s="15">
        <v>6</v>
      </c>
      <c r="B54" s="20" t="s">
        <v>59</v>
      </c>
      <c r="C54" s="20" t="s">
        <v>58</v>
      </c>
      <c r="D54" s="16">
        <f>SUMIF('Raw Data'!C:C,C54,'Raw Data'!N:N)</f>
        <v>8269.7900000000009</v>
      </c>
      <c r="E54" s="17">
        <f>COUNTIF('Raw Data'!C:C,C54)</f>
        <v>6</v>
      </c>
      <c r="F54" s="16">
        <f t="shared" si="0"/>
        <v>1378.2983333333334</v>
      </c>
      <c r="G54" s="20" t="s">
        <v>23</v>
      </c>
      <c r="H54" s="20" t="s">
        <v>47</v>
      </c>
    </row>
    <row r="55" spans="1:8" ht="15" customHeight="1" x14ac:dyDescent="0.3">
      <c r="A55" s="11">
        <v>7</v>
      </c>
      <c r="B55" s="19" t="s">
        <v>82</v>
      </c>
      <c r="C55" s="19" t="s">
        <v>81</v>
      </c>
      <c r="D55" s="12">
        <f>SUMIF('Raw Data'!C:C,C55,'Raw Data'!N:N)</f>
        <v>8009.7699999999995</v>
      </c>
      <c r="E55" s="13">
        <f>COUNTIF('Raw Data'!C:C,C55)</f>
        <v>8</v>
      </c>
      <c r="F55" s="12">
        <f t="shared" si="0"/>
        <v>1001.2212499999999</v>
      </c>
      <c r="G55" s="19" t="s">
        <v>30</v>
      </c>
      <c r="H55" s="19" t="s">
        <v>60</v>
      </c>
    </row>
    <row r="56" spans="1:8" ht="15" customHeight="1" x14ac:dyDescent="0.3">
      <c r="A56" s="15">
        <v>8</v>
      </c>
      <c r="B56" s="20" t="s">
        <v>213</v>
      </c>
      <c r="C56" s="20" t="s">
        <v>212</v>
      </c>
      <c r="D56" s="16">
        <f>SUMIF('Raw Data'!C:C,C56,'Raw Data'!N:N)</f>
        <v>7309.7999999999993</v>
      </c>
      <c r="E56" s="17">
        <f>COUNTIF('Raw Data'!C:C,C56)</f>
        <v>7</v>
      </c>
      <c r="F56" s="16">
        <f t="shared" si="0"/>
        <v>1044.2571428571428</v>
      </c>
      <c r="G56" s="20" t="s">
        <v>30</v>
      </c>
      <c r="H56" s="20" t="s">
        <v>40</v>
      </c>
    </row>
    <row r="57" spans="1:8" ht="15" customHeight="1" x14ac:dyDescent="0.3">
      <c r="A57" s="11">
        <v>9</v>
      </c>
      <c r="B57" s="19" t="s">
        <v>386</v>
      </c>
      <c r="C57" s="19" t="s">
        <v>385</v>
      </c>
      <c r="D57" s="12">
        <f>SUMIF('Raw Data'!C:C,C57,'Raw Data'!N:N)</f>
        <v>6989.7699999999986</v>
      </c>
      <c r="E57" s="13">
        <f>COUNTIF('Raw Data'!C:C,C57)</f>
        <v>8</v>
      </c>
      <c r="F57" s="12">
        <f t="shared" si="0"/>
        <v>873.72124999999983</v>
      </c>
      <c r="G57" s="19" t="s">
        <v>23</v>
      </c>
      <c r="H57" s="19" t="s">
        <v>77</v>
      </c>
    </row>
    <row r="58" spans="1:8" ht="15" customHeight="1" x14ac:dyDescent="0.3">
      <c r="A58" s="15">
        <v>10</v>
      </c>
      <c r="B58" s="20" t="s">
        <v>28</v>
      </c>
      <c r="C58" s="20" t="s">
        <v>27</v>
      </c>
      <c r="D58" s="16">
        <f>SUMIF('Raw Data'!C:C,C58,'Raw Data'!N:N)</f>
        <v>6949.84</v>
      </c>
      <c r="E58" s="17">
        <f>COUNTIF('Raw Data'!C:C,C58)</f>
        <v>5</v>
      </c>
      <c r="F58" s="16">
        <f t="shared" si="0"/>
        <v>1389.9680000000001</v>
      </c>
      <c r="G58" s="20" t="s">
        <v>30</v>
      </c>
      <c r="H58" s="20" t="s">
        <v>40</v>
      </c>
    </row>
    <row r="61" spans="1:8" ht="27.75" customHeight="1" x14ac:dyDescent="0.3">
      <c r="A61" s="35" t="s">
        <v>818</v>
      </c>
      <c r="B61" s="35"/>
      <c r="C61" s="35"/>
      <c r="D61" s="35"/>
      <c r="E61" s="35"/>
      <c r="F61" s="35"/>
    </row>
    <row r="62" spans="1:8" ht="15" customHeight="1" x14ac:dyDescent="0.3">
      <c r="A62" s="9" t="s">
        <v>819</v>
      </c>
      <c r="B62" s="9" t="s">
        <v>6</v>
      </c>
      <c r="C62" s="9" t="s">
        <v>806</v>
      </c>
      <c r="D62" s="9" t="s">
        <v>807</v>
      </c>
      <c r="E62" s="9" t="s">
        <v>805</v>
      </c>
      <c r="F62" s="9" t="s">
        <v>820</v>
      </c>
    </row>
    <row r="63" spans="1:8" ht="15" customHeight="1" x14ac:dyDescent="0.3">
      <c r="A63" s="19" t="s">
        <v>76</v>
      </c>
      <c r="B63" s="19" t="s">
        <v>20</v>
      </c>
      <c r="C63" s="13">
        <f>COUNTIF('Raw Data'!F:F,A63)</f>
        <v>24</v>
      </c>
      <c r="D63" s="13">
        <f>SUMIF('Raw Data'!F:F,A63,'Raw Data'!H:H)</f>
        <v>75</v>
      </c>
      <c r="E63" s="12">
        <f>SUMIF('Raw Data'!F:F,A63,'Raw Data'!N:N)</f>
        <v>67499.25</v>
      </c>
      <c r="F63" s="12">
        <f>IFERROR(AVERAGEIF('Raw Data'!F:F,A63,'Raw Data'!I:I),0)</f>
        <v>899.99000000000024</v>
      </c>
    </row>
    <row r="64" spans="1:8" ht="15" customHeight="1" x14ac:dyDescent="0.3">
      <c r="A64" s="20" t="s">
        <v>103</v>
      </c>
      <c r="B64" s="20" t="s">
        <v>20</v>
      </c>
      <c r="C64" s="17">
        <f>COUNTIF('Raw Data'!F:F,A64)</f>
        <v>31</v>
      </c>
      <c r="D64" s="17">
        <f>SUMIF('Raw Data'!F:F,A64,'Raw Data'!H:H)</f>
        <v>96</v>
      </c>
      <c r="E64" s="16">
        <f>SUMIF('Raw Data'!F:F,A64,'Raw Data'!N:N)</f>
        <v>67199.039999999994</v>
      </c>
      <c r="F64" s="16">
        <f>IFERROR(AVERAGEIF('Raw Data'!F:F,A64,'Raw Data'!I:I),0)</f>
        <v>699.99000000000035</v>
      </c>
    </row>
    <row r="65" spans="1:6" ht="15" customHeight="1" x14ac:dyDescent="0.3">
      <c r="A65" s="19" t="s">
        <v>19</v>
      </c>
      <c r="B65" s="19" t="s">
        <v>20</v>
      </c>
      <c r="C65" s="13">
        <f>COUNTIF('Raw Data'!F:F,A65)</f>
        <v>26</v>
      </c>
      <c r="D65" s="13">
        <f>SUMIF('Raw Data'!F:F,A65,'Raw Data'!H:H)</f>
        <v>88</v>
      </c>
      <c r="E65" s="12">
        <f>SUMIF('Raw Data'!F:F,A65,'Raw Data'!N:N)</f>
        <v>21999.119999999999</v>
      </c>
      <c r="F65" s="12">
        <f>IFERROR(AVERAGEIF('Raw Data'!F:F,A65,'Raw Data'!I:I),0)</f>
        <v>249.98999999999984</v>
      </c>
    </row>
    <row r="66" spans="1:6" ht="15" customHeight="1" x14ac:dyDescent="0.3">
      <c r="A66" s="20" t="s">
        <v>160</v>
      </c>
      <c r="B66" s="20" t="s">
        <v>20</v>
      </c>
      <c r="C66" s="17">
        <f>COUNTIF('Raw Data'!F:F,A66)</f>
        <v>34</v>
      </c>
      <c r="D66" s="17">
        <f>SUMIF('Raw Data'!F:F,A66,'Raw Data'!H:H)</f>
        <v>89</v>
      </c>
      <c r="E66" s="16">
        <f>SUMIF('Raw Data'!F:F,A66,'Raw Data'!N:N)</f>
        <v>8009.1099999999969</v>
      </c>
      <c r="F66" s="16">
        <f>IFERROR(AVERAGEIF('Raw Data'!F:F,A66,'Raw Data'!I:I),0)</f>
        <v>89.989999999999924</v>
      </c>
    </row>
    <row r="67" spans="1:6" ht="15" customHeight="1" x14ac:dyDescent="0.3">
      <c r="A67" s="19" t="s">
        <v>64</v>
      </c>
      <c r="B67" s="19" t="s">
        <v>20</v>
      </c>
      <c r="C67" s="13">
        <f>COUNTIF('Raw Data'!F:F,A67)</f>
        <v>16</v>
      </c>
      <c r="D67" s="13">
        <f>SUMIF('Raw Data'!F:F,A67,'Raw Data'!H:H)</f>
        <v>47</v>
      </c>
      <c r="E67" s="12">
        <f>SUMIF('Raw Data'!F:F,A67,'Raw Data'!N:N)</f>
        <v>7049.5299999999988</v>
      </c>
      <c r="F67" s="12">
        <f>IFERROR(AVERAGEIF('Raw Data'!F:F,A67,'Raw Data'!I:I),0)</f>
        <v>149.99</v>
      </c>
    </row>
    <row r="68" spans="1:6" ht="15" customHeight="1" x14ac:dyDescent="0.3">
      <c r="A68" s="20" t="s">
        <v>37</v>
      </c>
      <c r="B68" s="20" t="s">
        <v>38</v>
      </c>
      <c r="C68" s="17">
        <f>COUNTIF('Raw Data'!F:F,A68)</f>
        <v>29</v>
      </c>
      <c r="D68" s="17">
        <f>SUMIF('Raw Data'!F:F,A68,'Raw Data'!H:H)</f>
        <v>87</v>
      </c>
      <c r="E68" s="16">
        <f>SUMIF('Raw Data'!F:F,A68,'Raw Data'!N:N)</f>
        <v>5219.1299999999974</v>
      </c>
      <c r="F68" s="16">
        <f>IFERROR(AVERAGEIF('Raw Data'!F:F,A68,'Raw Data'!I:I),0)</f>
        <v>59.99</v>
      </c>
    </row>
    <row r="69" spans="1:6" ht="15" customHeight="1" x14ac:dyDescent="0.3">
      <c r="A69" s="19" t="s">
        <v>156</v>
      </c>
      <c r="B69" s="19" t="s">
        <v>38</v>
      </c>
      <c r="C69" s="13">
        <f>COUNTIF('Raw Data'!F:F,A69)</f>
        <v>14</v>
      </c>
      <c r="D69" s="13">
        <f>SUMIF('Raw Data'!F:F,A69,'Raw Data'!H:H)</f>
        <v>39</v>
      </c>
      <c r="E69" s="12">
        <f>SUMIF('Raw Data'!F:F,A69,'Raw Data'!N:N)</f>
        <v>3119.6099999999992</v>
      </c>
      <c r="F69" s="12">
        <f>IFERROR(AVERAGEIF('Raw Data'!F:F,A69,'Raw Data'!I:I),0)</f>
        <v>79.989999999999995</v>
      </c>
    </row>
    <row r="70" spans="1:6" ht="15" customHeight="1" x14ac:dyDescent="0.3">
      <c r="A70" s="20" t="s">
        <v>53</v>
      </c>
      <c r="B70" s="20" t="s">
        <v>54</v>
      </c>
      <c r="C70" s="17">
        <f>COUNTIF('Raw Data'!F:F,A70)</f>
        <v>35</v>
      </c>
      <c r="D70" s="17">
        <f>SUMIF('Raw Data'!F:F,A70,'Raw Data'!H:H)</f>
        <v>102</v>
      </c>
      <c r="E70" s="16">
        <f>SUMIF('Raw Data'!F:F,A70,'Raw Data'!N:N)</f>
        <v>15298.979999999994</v>
      </c>
      <c r="F70" s="16">
        <f>IFERROR(AVERAGEIF('Raw Data'!F:F,A70,'Raw Data'!I:I),0)</f>
        <v>149.9899999999999</v>
      </c>
    </row>
    <row r="71" spans="1:6" ht="15" customHeight="1" x14ac:dyDescent="0.3">
      <c r="A71" s="19" t="s">
        <v>142</v>
      </c>
      <c r="B71" s="19" t="s">
        <v>54</v>
      </c>
      <c r="C71" s="13">
        <f>COUNTIF('Raw Data'!F:F,A71)</f>
        <v>26</v>
      </c>
      <c r="D71" s="13">
        <f>SUMIF('Raw Data'!F:F,A71,'Raw Data'!H:H)</f>
        <v>78</v>
      </c>
      <c r="E71" s="12">
        <f>SUMIF('Raw Data'!F:F,A71,'Raw Data'!N:N)</f>
        <v>23399.22</v>
      </c>
      <c r="F71" s="12">
        <f>IFERROR(AVERAGEIF('Raw Data'!F:F,A71,'Raw Data'!I:I),0)</f>
        <v>299.98999999999984</v>
      </c>
    </row>
    <row r="72" spans="1:6" ht="15" customHeight="1" x14ac:dyDescent="0.3">
      <c r="A72" s="20" t="s">
        <v>174</v>
      </c>
      <c r="B72" s="20" t="s">
        <v>54</v>
      </c>
      <c r="C72" s="17">
        <f>COUNTIF('Raw Data'!F:F,A72)</f>
        <v>15</v>
      </c>
      <c r="D72" s="17">
        <f>SUMIF('Raw Data'!F:F,A72,'Raw Data'!H:H)</f>
        <v>52</v>
      </c>
      <c r="E72" s="16">
        <f>SUMIF('Raw Data'!F:F,A72,'Raw Data'!N:N)</f>
        <v>10399.479999999998</v>
      </c>
      <c r="F72" s="16">
        <f>IFERROR(AVERAGEIF('Raw Data'!F:F,A72,'Raw Data'!I:I),0)</f>
        <v>199.98999999999995</v>
      </c>
    </row>
    <row r="75" spans="1:6" ht="27.75" customHeight="1" x14ac:dyDescent="0.3">
      <c r="A75" s="35" t="s">
        <v>821</v>
      </c>
      <c r="B75" s="35"/>
      <c r="C75" s="35"/>
      <c r="D75" s="35"/>
      <c r="E75" s="35"/>
      <c r="F75" s="35"/>
    </row>
    <row r="76" spans="1:6" ht="15" customHeight="1" x14ac:dyDescent="0.3">
      <c r="A76" s="9" t="s">
        <v>822</v>
      </c>
      <c r="B76" s="9" t="s">
        <v>806</v>
      </c>
      <c r="C76" s="9" t="s">
        <v>805</v>
      </c>
      <c r="D76" s="9" t="s">
        <v>808</v>
      </c>
      <c r="E76" s="9" t="s">
        <v>823</v>
      </c>
      <c r="F76" s="9" t="s">
        <v>813</v>
      </c>
    </row>
    <row r="77" spans="1:6" ht="15" customHeight="1" x14ac:dyDescent="0.3">
      <c r="A77" s="19" t="s">
        <v>21</v>
      </c>
      <c r="B77" s="13">
        <f>COUNTIF('Raw Data'!J:J,A77)</f>
        <v>76</v>
      </c>
      <c r="C77" s="12">
        <f>SUMIF('Raw Data'!J:J,A77,'Raw Data'!N:N)</f>
        <v>57427.790000000023</v>
      </c>
      <c r="D77" s="12">
        <f>IFERROR(C77/B77,0)</f>
        <v>755.62881578947395</v>
      </c>
      <c r="E77" s="14">
        <f>IFERROR(B77/SUM(B77:B80),0)</f>
        <v>0.30399999999999999</v>
      </c>
      <c r="F77" s="14">
        <f>IFERROR(C77/SUM(C77:C80),0)</f>
        <v>0.25056577993160078</v>
      </c>
    </row>
    <row r="78" spans="1:6" ht="15" customHeight="1" x14ac:dyDescent="0.3">
      <c r="A78" s="20" t="s">
        <v>29</v>
      </c>
      <c r="B78" s="17">
        <f>COUNTIF('Raw Data'!J:J,A78)</f>
        <v>68</v>
      </c>
      <c r="C78" s="16">
        <f>SUMIF('Raw Data'!J:J,A78,'Raw Data'!N:N)</f>
        <v>61447.960000000014</v>
      </c>
      <c r="D78" s="16">
        <f>IFERROR(C78/B78,0)</f>
        <v>903.6464705882355</v>
      </c>
      <c r="E78" s="18">
        <f>IFERROR(B78/SUM(B77:B80),0)</f>
        <v>0.27200000000000002</v>
      </c>
      <c r="F78" s="18">
        <f>IFERROR(C78/SUM(C77:C80),0)</f>
        <v>0.26810636492551437</v>
      </c>
    </row>
    <row r="79" spans="1:6" ht="15" customHeight="1" x14ac:dyDescent="0.3">
      <c r="A79" s="19" t="s">
        <v>69</v>
      </c>
      <c r="B79" s="13">
        <f>COUNTIF('Raw Data'!J:J,A79)</f>
        <v>54</v>
      </c>
      <c r="C79" s="12">
        <f>SUMIF('Raw Data'!J:J,A79,'Raw Data'!N:N)</f>
        <v>52118.310000000005</v>
      </c>
      <c r="D79" s="12">
        <f>IFERROR(C79/B79,0)</f>
        <v>965.15388888888901</v>
      </c>
      <c r="E79" s="14">
        <f>IFERROR(B79/SUM(B77:B80),0)</f>
        <v>0.216</v>
      </c>
      <c r="F79" s="14">
        <f>IFERROR(C79/SUM(C77:C80),0)</f>
        <v>0.22739974834251753</v>
      </c>
    </row>
    <row r="80" spans="1:6" ht="15" customHeight="1" x14ac:dyDescent="0.3">
      <c r="A80" s="20" t="s">
        <v>39</v>
      </c>
      <c r="B80" s="17">
        <f>COUNTIF('Raw Data'!J:J,A80)</f>
        <v>52</v>
      </c>
      <c r="C80" s="16">
        <f>SUMIF('Raw Data'!J:J,A80,'Raw Data'!N:N)</f>
        <v>58198.409999999996</v>
      </c>
      <c r="D80" s="16">
        <f>IFERROR(C80/B80,0)</f>
        <v>1119.2001923076923</v>
      </c>
      <c r="E80" s="18">
        <f>IFERROR(B80/SUM(B77:B80),0)</f>
        <v>0.20799999999999999</v>
      </c>
      <c r="F80" s="18">
        <f>IFERROR(C80/SUM(C77:C80),0)</f>
        <v>0.25392810680036737</v>
      </c>
    </row>
    <row r="83" spans="1:8" ht="27.75" customHeight="1" x14ac:dyDescent="0.3">
      <c r="A83" s="35" t="s">
        <v>824</v>
      </c>
      <c r="B83" s="35"/>
      <c r="C83" s="35"/>
      <c r="D83" s="35"/>
      <c r="E83" s="35"/>
      <c r="F83" s="35"/>
      <c r="G83" s="35"/>
      <c r="H83" s="35"/>
    </row>
    <row r="84" spans="1:8" ht="15" customHeight="1" x14ac:dyDescent="0.3">
      <c r="A84" s="9" t="s">
        <v>0</v>
      </c>
      <c r="B84" s="9" t="s">
        <v>1</v>
      </c>
      <c r="C84" s="9" t="s">
        <v>825</v>
      </c>
      <c r="D84" s="9" t="s">
        <v>819</v>
      </c>
      <c r="E84" s="9" t="s">
        <v>6</v>
      </c>
      <c r="F84" s="9" t="s">
        <v>826</v>
      </c>
      <c r="G84" s="9" t="s">
        <v>827</v>
      </c>
      <c r="H84" s="9" t="s">
        <v>828</v>
      </c>
    </row>
    <row r="85" spans="1:8" ht="15" customHeight="1" x14ac:dyDescent="0.3">
      <c r="A85" s="48" t="s">
        <v>829</v>
      </c>
      <c r="B85" s="49"/>
      <c r="C85" s="49"/>
      <c r="D85" s="49"/>
      <c r="E85" s="49"/>
      <c r="F85" s="49"/>
      <c r="G85" s="49"/>
      <c r="H85" s="49"/>
    </row>
    <row r="88" spans="1:8" ht="27.75" customHeight="1" x14ac:dyDescent="0.3">
      <c r="A88" s="35" t="s">
        <v>830</v>
      </c>
      <c r="B88" s="35"/>
      <c r="C88" s="35"/>
      <c r="D88" s="35"/>
      <c r="E88" s="35"/>
      <c r="F88" s="35"/>
    </row>
    <row r="89" spans="1:8" ht="15" customHeight="1" x14ac:dyDescent="0.3">
      <c r="A89" s="9" t="s">
        <v>831</v>
      </c>
      <c r="B89" s="9" t="s">
        <v>832</v>
      </c>
      <c r="C89" s="9" t="s">
        <v>833</v>
      </c>
      <c r="D89" s="9" t="s">
        <v>834</v>
      </c>
      <c r="E89" s="9" t="s">
        <v>835</v>
      </c>
      <c r="F89" s="9" t="s">
        <v>836</v>
      </c>
    </row>
    <row r="90" spans="1:8" ht="15" customHeight="1" x14ac:dyDescent="0.3">
      <c r="A90" s="20" t="s">
        <v>20</v>
      </c>
      <c r="B90" s="20" t="str">
        <f t="shared" ref="B90:B99" si="1">UPPER(A90)</f>
        <v>ELECTRONICS</v>
      </c>
      <c r="C90" s="20" t="str">
        <f t="shared" ref="C90:C99" si="2">LOWER(A90)</f>
        <v>electronics</v>
      </c>
      <c r="D90" s="20" t="str">
        <f t="shared" ref="D90:D99" si="3">LEFT(A90,3)</f>
        <v>Ele</v>
      </c>
      <c r="E90" s="20" t="str">
        <f t="shared" ref="E90:E99" si="4">LEFT(A90,1)&amp;IF(ISNUMBER(FIND(" ",A90)),MID(A90,FIND(" ",A90)+1,1),"")</f>
        <v>E</v>
      </c>
      <c r="F90" s="20" t="str">
        <f t="shared" ref="F90:F99" si="5">LEFT(A90,1)&amp;MID(A90,FIND(LEFT(A90,1),A90)+1,2)</f>
        <v>Ele</v>
      </c>
    </row>
    <row r="91" spans="1:8" ht="15" customHeight="1" x14ac:dyDescent="0.3">
      <c r="A91" s="19" t="s">
        <v>54</v>
      </c>
      <c r="B91" s="19" t="str">
        <f t="shared" si="1"/>
        <v>FURNITURE</v>
      </c>
      <c r="C91" s="19" t="str">
        <f t="shared" si="2"/>
        <v>furniture</v>
      </c>
      <c r="D91" s="19" t="str">
        <f t="shared" si="3"/>
        <v>Fur</v>
      </c>
      <c r="E91" s="19" t="str">
        <f t="shared" si="4"/>
        <v>F</v>
      </c>
      <c r="F91" s="19" t="str">
        <f t="shared" si="5"/>
        <v>Fur</v>
      </c>
    </row>
    <row r="92" spans="1:8" ht="15" customHeight="1" x14ac:dyDescent="0.3">
      <c r="A92" s="20" t="s">
        <v>38</v>
      </c>
      <c r="B92" s="20" t="str">
        <f t="shared" si="1"/>
        <v>APPLIANCES</v>
      </c>
      <c r="C92" s="20" t="str">
        <f t="shared" si="2"/>
        <v>appliances</v>
      </c>
      <c r="D92" s="20" t="str">
        <f t="shared" si="3"/>
        <v>App</v>
      </c>
      <c r="E92" s="20" t="str">
        <f t="shared" si="4"/>
        <v>A</v>
      </c>
      <c r="F92" s="20" t="str">
        <f t="shared" si="5"/>
        <v>App</v>
      </c>
    </row>
    <row r="93" spans="1:8" ht="15" customHeight="1" x14ac:dyDescent="0.3">
      <c r="A93" s="19" t="s">
        <v>30</v>
      </c>
      <c r="B93" s="19" t="str">
        <f t="shared" si="1"/>
        <v>PREMIUM</v>
      </c>
      <c r="C93" s="19" t="str">
        <f t="shared" si="2"/>
        <v>premium</v>
      </c>
      <c r="D93" s="19" t="str">
        <f t="shared" si="3"/>
        <v>Pre</v>
      </c>
      <c r="E93" s="19" t="str">
        <f t="shared" si="4"/>
        <v>P</v>
      </c>
      <c r="F93" s="19" t="str">
        <f t="shared" si="5"/>
        <v>Pre</v>
      </c>
    </row>
    <row r="94" spans="1:8" ht="15" customHeight="1" x14ac:dyDescent="0.3">
      <c r="A94" s="20" t="s">
        <v>41</v>
      </c>
      <c r="B94" s="20" t="str">
        <f t="shared" si="1"/>
        <v>STANDARD</v>
      </c>
      <c r="C94" s="20" t="str">
        <f t="shared" si="2"/>
        <v>standard</v>
      </c>
      <c r="D94" s="20" t="str">
        <f t="shared" si="3"/>
        <v>Sta</v>
      </c>
      <c r="E94" s="20" t="str">
        <f t="shared" si="4"/>
        <v>S</v>
      </c>
      <c r="F94" s="20" t="str">
        <f t="shared" si="5"/>
        <v>Sta</v>
      </c>
    </row>
    <row r="95" spans="1:8" ht="15" customHeight="1" x14ac:dyDescent="0.3">
      <c r="A95" s="19" t="s">
        <v>23</v>
      </c>
      <c r="B95" s="19" t="str">
        <f t="shared" si="1"/>
        <v>BASIC</v>
      </c>
      <c r="C95" s="19" t="str">
        <f t="shared" si="2"/>
        <v>basic</v>
      </c>
      <c r="D95" s="19" t="str">
        <f t="shared" si="3"/>
        <v>Bas</v>
      </c>
      <c r="E95" s="19" t="str">
        <f t="shared" si="4"/>
        <v>B</v>
      </c>
      <c r="F95" s="19" t="str">
        <f t="shared" si="5"/>
        <v>Bas</v>
      </c>
    </row>
    <row r="96" spans="1:8" ht="15" customHeight="1" x14ac:dyDescent="0.3">
      <c r="A96" s="20" t="s">
        <v>29</v>
      </c>
      <c r="B96" s="20" t="str">
        <f t="shared" si="1"/>
        <v>CREDIT CARD</v>
      </c>
      <c r="C96" s="20" t="str">
        <f t="shared" si="2"/>
        <v>credit card</v>
      </c>
      <c r="D96" s="20" t="str">
        <f t="shared" si="3"/>
        <v>Cre</v>
      </c>
      <c r="E96" s="20" t="str">
        <f t="shared" si="4"/>
        <v>CC</v>
      </c>
      <c r="F96" s="20" t="str">
        <f t="shared" si="5"/>
        <v>Cre</v>
      </c>
    </row>
    <row r="97" spans="1:6" ht="15" customHeight="1" x14ac:dyDescent="0.3">
      <c r="A97" s="19" t="s">
        <v>69</v>
      </c>
      <c r="B97" s="19" t="str">
        <f t="shared" si="1"/>
        <v>DEBIT CARD</v>
      </c>
      <c r="C97" s="19" t="str">
        <f t="shared" si="2"/>
        <v>debit card</v>
      </c>
      <c r="D97" s="19" t="str">
        <f t="shared" si="3"/>
        <v>Deb</v>
      </c>
      <c r="E97" s="19" t="str">
        <f t="shared" si="4"/>
        <v>DC</v>
      </c>
      <c r="F97" s="19" t="str">
        <f t="shared" si="5"/>
        <v>Deb</v>
      </c>
    </row>
    <row r="98" spans="1:6" ht="15" customHeight="1" x14ac:dyDescent="0.3">
      <c r="A98" s="20" t="s">
        <v>19</v>
      </c>
      <c r="B98" s="20" t="str">
        <f t="shared" si="1"/>
        <v>MONITOR</v>
      </c>
      <c r="C98" s="20" t="str">
        <f t="shared" si="2"/>
        <v>monitor</v>
      </c>
      <c r="D98" s="20" t="str">
        <f t="shared" si="3"/>
        <v>Mon</v>
      </c>
      <c r="E98" s="20" t="str">
        <f t="shared" si="4"/>
        <v>M</v>
      </c>
      <c r="F98" s="20" t="str">
        <f t="shared" si="5"/>
        <v>Mon</v>
      </c>
    </row>
    <row r="99" spans="1:6" ht="15" customHeight="1" x14ac:dyDescent="0.3">
      <c r="A99" s="19" t="s">
        <v>103</v>
      </c>
      <c r="B99" s="19" t="str">
        <f t="shared" si="1"/>
        <v>SMARTPHONE</v>
      </c>
      <c r="C99" s="19" t="str">
        <f t="shared" si="2"/>
        <v>smartphone</v>
      </c>
      <c r="D99" s="19" t="str">
        <f t="shared" si="3"/>
        <v>Sma</v>
      </c>
      <c r="E99" s="19" t="str">
        <f t="shared" si="4"/>
        <v>S</v>
      </c>
      <c r="F99" s="19" t="str">
        <f t="shared" si="5"/>
        <v>Sma</v>
      </c>
    </row>
    <row r="102" spans="1:6" ht="27.75" customHeight="1" x14ac:dyDescent="0.3">
      <c r="A102" s="35" t="s">
        <v>837</v>
      </c>
      <c r="B102" s="35"/>
      <c r="C102" s="35"/>
      <c r="D102" s="35"/>
      <c r="E102" s="35"/>
      <c r="F102" s="35"/>
    </row>
    <row r="103" spans="1:6" ht="23.25" customHeight="1" x14ac:dyDescent="0.3">
      <c r="A103" s="9" t="s">
        <v>838</v>
      </c>
      <c r="B103" s="9" t="s">
        <v>839</v>
      </c>
      <c r="D103" s="9" t="s">
        <v>840</v>
      </c>
      <c r="E103" s="9" t="s">
        <v>839</v>
      </c>
      <c r="F103" s="9" t="s">
        <v>841</v>
      </c>
    </row>
    <row r="104" spans="1:6" ht="15" customHeight="1" x14ac:dyDescent="0.3">
      <c r="A104" s="20" t="s">
        <v>28</v>
      </c>
      <c r="B104" s="20" t="s">
        <v>27</v>
      </c>
      <c r="D104" s="20" t="s">
        <v>17</v>
      </c>
      <c r="E104" s="20" t="s">
        <v>16</v>
      </c>
      <c r="F104" s="20" t="str">
        <f>IF(ISNUMBER(MATCH(B104,E104:E113,0)),"✅ Match","❌ No Match")</f>
        <v>❌ No Match</v>
      </c>
    </row>
    <row r="105" spans="1:6" ht="15" customHeight="1" x14ac:dyDescent="0.3">
      <c r="A105" s="19" t="s">
        <v>46</v>
      </c>
      <c r="B105" s="19" t="s">
        <v>45</v>
      </c>
      <c r="D105" s="19" t="s">
        <v>68</v>
      </c>
      <c r="E105" s="19" t="s">
        <v>67</v>
      </c>
      <c r="F105" s="19" t="str">
        <f>IF(ISNUMBER(MATCH(B105,E104:E113,0)),"✅ Match","❌ No Match")</f>
        <v>✅ Match</v>
      </c>
    </row>
    <row r="106" spans="1:6" ht="15" customHeight="1" x14ac:dyDescent="0.3">
      <c r="A106" s="20" t="s">
        <v>51</v>
      </c>
      <c r="B106" s="20" t="s">
        <v>50</v>
      </c>
      <c r="D106" s="20" t="s">
        <v>46</v>
      </c>
      <c r="E106" s="20" t="s">
        <v>45</v>
      </c>
      <c r="F106" s="20" t="str">
        <f>IF(ISNUMBER(MATCH(B106,E104:E113,0)),"✅ Match","❌ No Match")</f>
        <v>❌ No Match</v>
      </c>
    </row>
    <row r="107" spans="1:6" ht="15" customHeight="1" x14ac:dyDescent="0.3">
      <c r="A107" s="19" t="s">
        <v>82</v>
      </c>
      <c r="B107" s="19" t="s">
        <v>81</v>
      </c>
      <c r="D107" s="19" t="s">
        <v>101</v>
      </c>
      <c r="E107" s="19" t="s">
        <v>100</v>
      </c>
      <c r="F107" s="19" t="str">
        <f>IF(ISNUMBER(MATCH(B107,E104:E113,0)),"✅ Match","❌ No Match")</f>
        <v>❌ No Match</v>
      </c>
    </row>
    <row r="108" spans="1:6" ht="15" customHeight="1" x14ac:dyDescent="0.3">
      <c r="A108" s="20" t="s">
        <v>92</v>
      </c>
      <c r="B108" s="20" t="s">
        <v>91</v>
      </c>
      <c r="D108" s="20" t="s">
        <v>116</v>
      </c>
      <c r="E108" s="20" t="s">
        <v>115</v>
      </c>
      <c r="F108" s="20" t="str">
        <f>IF(ISNUMBER(MATCH(B108,E104:E113,0)),"✅ Match","❌ No Match")</f>
        <v>❌ No Match</v>
      </c>
    </row>
    <row r="109" spans="1:6" ht="15" customHeight="1" x14ac:dyDescent="0.3">
      <c r="A109" s="19" t="s">
        <v>112</v>
      </c>
      <c r="B109" s="19" t="s">
        <v>111</v>
      </c>
      <c r="D109" s="19" t="s">
        <v>127</v>
      </c>
      <c r="E109" s="19" t="s">
        <v>126</v>
      </c>
      <c r="F109" s="19" t="str">
        <f>IF(ISNUMBER(MATCH(B109,E104:E113,0)),"✅ Match","❌ No Match")</f>
        <v>❌ No Match</v>
      </c>
    </row>
    <row r="110" spans="1:6" ht="15" customHeight="1" x14ac:dyDescent="0.3">
      <c r="A110" s="20" t="s">
        <v>122</v>
      </c>
      <c r="B110" s="20" t="s">
        <v>121</v>
      </c>
      <c r="D110" s="20" t="s">
        <v>86</v>
      </c>
      <c r="E110" s="20" t="s">
        <v>85</v>
      </c>
      <c r="F110" s="20" t="str">
        <f>IF(ISNUMBER(MATCH(B110,E104:E113,0)),"✅ Match","❌ No Match")</f>
        <v>❌ No Match</v>
      </c>
    </row>
    <row r="111" spans="1:6" ht="15" customHeight="1" x14ac:dyDescent="0.3">
      <c r="A111" s="19" t="s">
        <v>154</v>
      </c>
      <c r="B111" s="19" t="s">
        <v>153</v>
      </c>
      <c r="D111" s="19" t="s">
        <v>179</v>
      </c>
      <c r="E111" s="19" t="s">
        <v>178</v>
      </c>
      <c r="F111" s="19" t="str">
        <f>IF(ISNUMBER(MATCH(B111,E104:E113,0)),"✅ Match","❌ No Match")</f>
        <v>❌ No Match</v>
      </c>
    </row>
    <row r="112" spans="1:6" ht="15" customHeight="1" x14ac:dyDescent="0.3">
      <c r="A112" s="20" t="s">
        <v>132</v>
      </c>
      <c r="B112" s="20" t="s">
        <v>131</v>
      </c>
      <c r="D112" s="20" t="s">
        <v>132</v>
      </c>
      <c r="E112" s="20" t="s">
        <v>131</v>
      </c>
      <c r="F112" s="20" t="str">
        <f>IF(ISNUMBER(MATCH(B112,E104:E113,0)),"✅ Match","❌ No Match")</f>
        <v>✅ Match</v>
      </c>
    </row>
    <row r="113" spans="1:6" ht="15" customHeight="1" x14ac:dyDescent="0.3">
      <c r="A113" s="19" t="s">
        <v>184</v>
      </c>
      <c r="B113" s="19" t="s">
        <v>183</v>
      </c>
      <c r="D113" s="19" t="s">
        <v>218</v>
      </c>
      <c r="E113" s="19" t="s">
        <v>217</v>
      </c>
      <c r="F113" s="19" t="str">
        <f>IF(ISNUMBER(MATCH(B113,E104:E113,0)),"✅ Match","❌ No Match")</f>
        <v>❌ No Match</v>
      </c>
    </row>
    <row r="116" spans="1:6" ht="27.75" customHeight="1" x14ac:dyDescent="0.3">
      <c r="A116" s="35" t="s">
        <v>842</v>
      </c>
      <c r="B116" s="35"/>
      <c r="C116" s="35"/>
      <c r="D116" s="35"/>
      <c r="E116" s="35"/>
      <c r="F116" s="35"/>
    </row>
    <row r="117" spans="1:6" ht="15" customHeight="1" x14ac:dyDescent="0.3">
      <c r="A117" s="9" t="s">
        <v>843</v>
      </c>
      <c r="B117" s="9" t="s">
        <v>844</v>
      </c>
      <c r="C117" s="9" t="s">
        <v>845</v>
      </c>
      <c r="D117" s="9" t="s">
        <v>846</v>
      </c>
      <c r="E117" s="9" t="s">
        <v>847</v>
      </c>
      <c r="F117" s="9" t="s">
        <v>848</v>
      </c>
    </row>
    <row r="118" spans="1:6" ht="15" customHeight="1" x14ac:dyDescent="0.3">
      <c r="A118" s="1" t="s">
        <v>849</v>
      </c>
      <c r="B118" s="21">
        <v>1</v>
      </c>
      <c r="C118" s="21">
        <v>1</v>
      </c>
      <c r="D118" s="22">
        <f>SUM('Raw Data'!N2:N10000)</f>
        <v>229192.47000000032</v>
      </c>
      <c r="E118" s="22">
        <v>0</v>
      </c>
      <c r="F118" s="21">
        <v>0</v>
      </c>
    </row>
    <row r="119" spans="1:6" ht="15" customHeight="1" x14ac:dyDescent="0.3">
      <c r="A119" s="19" t="s">
        <v>850</v>
      </c>
      <c r="B119" s="14">
        <v>1.1000000000000001</v>
      </c>
      <c r="C119" s="14">
        <v>1.1499999999999999</v>
      </c>
      <c r="D119" s="12">
        <f>D118*B119*C119</f>
        <v>289928.47455000039</v>
      </c>
      <c r="E119" s="12">
        <f>D119-D118</f>
        <v>60736.004550000071</v>
      </c>
      <c r="F119" s="14">
        <f>IFERROR((D119-D118)/D118,0)</f>
        <v>0.26499999999999996</v>
      </c>
    </row>
    <row r="120" spans="1:6" ht="15" customHeight="1" x14ac:dyDescent="0.3">
      <c r="A120" s="20" t="s">
        <v>851</v>
      </c>
      <c r="B120" s="18">
        <v>1.05</v>
      </c>
      <c r="C120" s="18">
        <v>1.05</v>
      </c>
      <c r="D120" s="16">
        <f>D118*B120*C120</f>
        <v>252684.69817500038</v>
      </c>
      <c r="E120" s="16">
        <f>D120-D118</f>
        <v>23492.228175000055</v>
      </c>
      <c r="F120" s="18">
        <f>IFERROR((D120-D118)/D118,0)</f>
        <v>0.10250000000000009</v>
      </c>
    </row>
    <row r="121" spans="1:6" ht="15" customHeight="1" x14ac:dyDescent="0.3">
      <c r="A121" s="19" t="s">
        <v>852</v>
      </c>
      <c r="B121" s="14">
        <v>0.9</v>
      </c>
      <c r="C121" s="14">
        <v>0.85</v>
      </c>
      <c r="D121" s="12">
        <f>D118*B121*C121</f>
        <v>175332.23955000023</v>
      </c>
      <c r="E121" s="12">
        <f>D121-D118</f>
        <v>-53860.23045000009</v>
      </c>
      <c r="F121" s="14">
        <f>IFERROR((D121-D118)/D118,0)</f>
        <v>-0.23500000000000007</v>
      </c>
    </row>
    <row r="122" spans="1:6" ht="15" customHeight="1" x14ac:dyDescent="0.3">
      <c r="A122" s="20" t="s">
        <v>853</v>
      </c>
      <c r="B122" s="18">
        <v>1.2</v>
      </c>
      <c r="C122" s="18">
        <v>1</v>
      </c>
      <c r="D122" s="16">
        <f>D118*B122*C122</f>
        <v>275030.96400000039</v>
      </c>
      <c r="E122" s="16">
        <f>D122-D118</f>
        <v>45838.494000000064</v>
      </c>
      <c r="F122" s="18">
        <f>IFERROR((D122-D118)/D118,0)</f>
        <v>0.2</v>
      </c>
    </row>
    <row r="123" spans="1:6" ht="15" customHeight="1" x14ac:dyDescent="0.3">
      <c r="A123" s="19" t="s">
        <v>854</v>
      </c>
      <c r="B123" s="14">
        <v>1</v>
      </c>
      <c r="C123" s="14">
        <v>1.25</v>
      </c>
      <c r="D123" s="12">
        <f>D118*B123*C123</f>
        <v>286490.58750000037</v>
      </c>
      <c r="E123" s="12">
        <f>D123-D118</f>
        <v>57298.117500000051</v>
      </c>
      <c r="F123" s="14">
        <f>IFERROR((D123-D118)/D118,0)</f>
        <v>0.24999999999999986</v>
      </c>
    </row>
    <row r="126" spans="1:6" ht="27.75" customHeight="1" x14ac:dyDescent="0.3">
      <c r="A126" s="35" t="s">
        <v>855</v>
      </c>
      <c r="B126" s="35"/>
      <c r="C126" s="35"/>
      <c r="D126" s="35"/>
      <c r="E126" s="35"/>
      <c r="F126" s="35"/>
    </row>
    <row r="127" spans="1:6" ht="15" customHeight="1" x14ac:dyDescent="0.3">
      <c r="A127" s="23" t="s">
        <v>856</v>
      </c>
      <c r="B127" s="51">
        <v>100000</v>
      </c>
      <c r="C127" s="51"/>
      <c r="D127" s="24"/>
      <c r="E127" s="24"/>
      <c r="F127" s="24"/>
    </row>
    <row r="128" spans="1:6" ht="15" customHeight="1" x14ac:dyDescent="0.3">
      <c r="A128" s="10" t="s">
        <v>857</v>
      </c>
      <c r="B128" s="52">
        <f>SUM('Raw Data'!N2:N10000)</f>
        <v>229192.47000000032</v>
      </c>
      <c r="C128" s="52"/>
      <c r="D128" s="25"/>
      <c r="E128" s="25"/>
      <c r="F128" s="25"/>
    </row>
    <row r="129" spans="1:6" ht="15" customHeight="1" x14ac:dyDescent="0.3">
      <c r="A129" s="23" t="s">
        <v>858</v>
      </c>
      <c r="B129" s="51">
        <f>B127-B128</f>
        <v>-129192.47000000032</v>
      </c>
      <c r="C129" s="51"/>
      <c r="D129" s="24"/>
      <c r="E129" s="24"/>
      <c r="F129" s="24"/>
    </row>
    <row r="130" spans="1:6" ht="15" customHeight="1" x14ac:dyDescent="0.3">
      <c r="A130" s="10" t="s">
        <v>859</v>
      </c>
      <c r="B130" s="53">
        <f>IFERROR((B127-B128)/B128,0)</f>
        <v>-0.56368549106347232</v>
      </c>
      <c r="C130" s="53"/>
      <c r="D130" s="25"/>
      <c r="E130" s="25"/>
      <c r="F130" s="25"/>
    </row>
    <row r="131" spans="1:6" ht="15" customHeight="1" x14ac:dyDescent="0.3">
      <c r="A131" s="50" t="s">
        <v>860</v>
      </c>
      <c r="B131" s="50"/>
      <c r="C131" s="50"/>
      <c r="D131" s="50"/>
      <c r="E131" s="50"/>
      <c r="F131" s="50"/>
    </row>
    <row r="134" spans="1:6" ht="27.75" customHeight="1" x14ac:dyDescent="0.3">
      <c r="A134" s="35" t="s">
        <v>861</v>
      </c>
      <c r="B134" s="35"/>
      <c r="C134" s="35"/>
      <c r="D134" s="35"/>
      <c r="E134" s="35"/>
      <c r="F134" s="35"/>
    </row>
    <row r="135" spans="1:6" ht="15" customHeight="1" x14ac:dyDescent="0.3">
      <c r="A135" s="9" t="s">
        <v>862</v>
      </c>
      <c r="B135" s="9" t="s">
        <v>863</v>
      </c>
      <c r="C135" s="9" t="s">
        <v>805</v>
      </c>
      <c r="D135" s="9" t="s">
        <v>864</v>
      </c>
      <c r="E135" s="9" t="s">
        <v>865</v>
      </c>
      <c r="F135" s="9" t="s">
        <v>866</v>
      </c>
    </row>
    <row r="136" spans="1:6" ht="15" customHeight="1" x14ac:dyDescent="0.3">
      <c r="A136" s="20">
        <v>1</v>
      </c>
      <c r="B136" s="20" t="s">
        <v>867</v>
      </c>
      <c r="C136" s="16">
        <v>20919.330000000002</v>
      </c>
      <c r="D136" s="16">
        <f t="shared" ref="D136:D148" si="6">IFERROR(FORECAST(A136,C$136:C$148,A$136:A$148),0)</f>
        <v>19160.460659340657</v>
      </c>
      <c r="E136" s="16">
        <f>SLOPE(C136:C148,A136:A148)</f>
        <v>-255.04510989010993</v>
      </c>
      <c r="F136" s="16">
        <f>INTERCEPT(C136:C148,A136:A148)</f>
        <v>19415.505769230767</v>
      </c>
    </row>
    <row r="137" spans="1:6" ht="15" customHeight="1" x14ac:dyDescent="0.3">
      <c r="A137" s="19">
        <v>2</v>
      </c>
      <c r="B137" s="19" t="s">
        <v>868</v>
      </c>
      <c r="C137" s="12">
        <v>17039.349999999999</v>
      </c>
      <c r="D137" s="12">
        <f t="shared" si="6"/>
        <v>18905.415549450547</v>
      </c>
      <c r="E137" s="19"/>
      <c r="F137" s="19"/>
    </row>
    <row r="138" spans="1:6" ht="15" customHeight="1" x14ac:dyDescent="0.3">
      <c r="A138" s="20">
        <v>3</v>
      </c>
      <c r="B138" s="20" t="s">
        <v>869</v>
      </c>
      <c r="C138" s="16">
        <v>19299.45</v>
      </c>
      <c r="D138" s="16">
        <f t="shared" si="6"/>
        <v>18650.370439560436</v>
      </c>
      <c r="E138" s="20"/>
      <c r="F138" s="20"/>
    </row>
    <row r="139" spans="1:6" ht="15" customHeight="1" x14ac:dyDescent="0.3">
      <c r="A139" s="19">
        <v>4</v>
      </c>
      <c r="B139" s="19" t="s">
        <v>870</v>
      </c>
      <c r="C139" s="12">
        <v>18479.400000000001</v>
      </c>
      <c r="D139" s="12">
        <f t="shared" si="6"/>
        <v>18395.325329670326</v>
      </c>
      <c r="E139" s="19"/>
      <c r="F139" s="19"/>
    </row>
    <row r="140" spans="1:6" ht="15" customHeight="1" x14ac:dyDescent="0.3">
      <c r="A140" s="20">
        <v>5</v>
      </c>
      <c r="B140" s="20" t="s">
        <v>871</v>
      </c>
      <c r="C140" s="16">
        <v>15759.43</v>
      </c>
      <c r="D140" s="16">
        <f t="shared" si="6"/>
        <v>18140.280219780219</v>
      </c>
      <c r="E140" s="20"/>
      <c r="F140" s="20"/>
    </row>
    <row r="141" spans="1:6" ht="15" customHeight="1" x14ac:dyDescent="0.3">
      <c r="A141" s="19">
        <v>6</v>
      </c>
      <c r="B141" s="19" t="s">
        <v>872</v>
      </c>
      <c r="C141" s="12">
        <v>12989.51</v>
      </c>
      <c r="D141" s="12">
        <f t="shared" si="6"/>
        <v>17885.235109890109</v>
      </c>
      <c r="E141" s="19"/>
      <c r="F141" s="19"/>
    </row>
    <row r="142" spans="1:6" ht="15" customHeight="1" x14ac:dyDescent="0.3">
      <c r="A142" s="20">
        <v>7</v>
      </c>
      <c r="B142" s="20" t="s">
        <v>873</v>
      </c>
      <c r="C142" s="16">
        <v>20609.52</v>
      </c>
      <c r="D142" s="16">
        <f t="shared" si="6"/>
        <v>17630.189999999999</v>
      </c>
      <c r="E142" s="20"/>
      <c r="F142" s="20"/>
    </row>
    <row r="143" spans="1:6" ht="15" customHeight="1" x14ac:dyDescent="0.3">
      <c r="A143" s="19">
        <v>8</v>
      </c>
      <c r="B143" s="19" t="s">
        <v>874</v>
      </c>
      <c r="C143" s="12">
        <v>12309.44</v>
      </c>
      <c r="D143" s="12">
        <f t="shared" si="6"/>
        <v>17375.144890109888</v>
      </c>
      <c r="E143" s="19"/>
      <c r="F143" s="19"/>
    </row>
    <row r="144" spans="1:6" ht="15" customHeight="1" x14ac:dyDescent="0.3">
      <c r="A144" s="20">
        <v>9</v>
      </c>
      <c r="B144" s="20" t="s">
        <v>875</v>
      </c>
      <c r="C144" s="16">
        <v>23039.3</v>
      </c>
      <c r="D144" s="16">
        <f t="shared" si="6"/>
        <v>17120.099780219778</v>
      </c>
      <c r="E144" s="20"/>
      <c r="F144" s="20"/>
    </row>
    <row r="145" spans="1:6" ht="15" customHeight="1" x14ac:dyDescent="0.3">
      <c r="A145" s="19">
        <v>10</v>
      </c>
      <c r="B145" s="19" t="s">
        <v>876</v>
      </c>
      <c r="C145" s="12">
        <v>25799.15</v>
      </c>
      <c r="D145" s="12">
        <f t="shared" si="6"/>
        <v>16865.054670329668</v>
      </c>
      <c r="E145" s="19"/>
      <c r="F145" s="19"/>
    </row>
    <row r="146" spans="1:6" ht="15" customHeight="1" x14ac:dyDescent="0.3">
      <c r="A146" s="20">
        <v>11</v>
      </c>
      <c r="B146" s="20" t="s">
        <v>877</v>
      </c>
      <c r="C146" s="16">
        <v>16069.38</v>
      </c>
      <c r="D146" s="16">
        <f t="shared" si="6"/>
        <v>16610.009560439557</v>
      </c>
      <c r="E146" s="20"/>
      <c r="F146" s="20"/>
    </row>
    <row r="147" spans="1:6" ht="15" customHeight="1" x14ac:dyDescent="0.3">
      <c r="A147" s="19">
        <v>12</v>
      </c>
      <c r="B147" s="19" t="s">
        <v>878</v>
      </c>
      <c r="C147" s="12">
        <v>19899.38</v>
      </c>
      <c r="D147" s="12">
        <f t="shared" si="6"/>
        <v>16354.964450549447</v>
      </c>
      <c r="E147" s="19"/>
      <c r="F147" s="19"/>
    </row>
    <row r="148" spans="1:6" ht="15" customHeight="1" x14ac:dyDescent="0.3">
      <c r="A148" s="20">
        <v>13</v>
      </c>
      <c r="B148" s="20" t="s">
        <v>879</v>
      </c>
      <c r="C148" s="16">
        <v>6979.83</v>
      </c>
      <c r="D148" s="16">
        <f t="shared" si="6"/>
        <v>16099.919340659339</v>
      </c>
      <c r="E148" s="20"/>
      <c r="F148" s="20"/>
    </row>
  </sheetData>
  <mergeCells count="56">
    <mergeCell ref="A131:F131"/>
    <mergeCell ref="A134:F134"/>
    <mergeCell ref="A126:F126"/>
    <mergeCell ref="B127:C127"/>
    <mergeCell ref="B128:C128"/>
    <mergeCell ref="B129:C129"/>
    <mergeCell ref="B130:C130"/>
    <mergeCell ref="A83:H83"/>
    <mergeCell ref="A85:H85"/>
    <mergeCell ref="A88:F88"/>
    <mergeCell ref="A102:F102"/>
    <mergeCell ref="A116:F116"/>
    <mergeCell ref="A31:F31"/>
    <mergeCell ref="A40:F40"/>
    <mergeCell ref="A47:H47"/>
    <mergeCell ref="A61:F61"/>
    <mergeCell ref="A75:F75"/>
    <mergeCell ref="A21:C21"/>
    <mergeCell ref="D21:F21"/>
    <mergeCell ref="A22:C22"/>
    <mergeCell ref="D22:F22"/>
    <mergeCell ref="A25:F25"/>
    <mergeCell ref="A18:C18"/>
    <mergeCell ref="D18:F18"/>
    <mergeCell ref="A19:C19"/>
    <mergeCell ref="D19:F19"/>
    <mergeCell ref="A20:C20"/>
    <mergeCell ref="D20:F20"/>
    <mergeCell ref="A15:C15"/>
    <mergeCell ref="D15:F15"/>
    <mergeCell ref="A16:C16"/>
    <mergeCell ref="D16:F16"/>
    <mergeCell ref="A17:C17"/>
    <mergeCell ref="D17:F17"/>
    <mergeCell ref="A10:C10"/>
    <mergeCell ref="D10:F10"/>
    <mergeCell ref="A13:F13"/>
    <mergeCell ref="A14:C14"/>
    <mergeCell ref="D14:F14"/>
    <mergeCell ref="A7:C7"/>
    <mergeCell ref="D7:F7"/>
    <mergeCell ref="A8:C8"/>
    <mergeCell ref="D8:F8"/>
    <mergeCell ref="A9:C9"/>
    <mergeCell ref="D9:F9"/>
    <mergeCell ref="A4:C4"/>
    <mergeCell ref="D4:F4"/>
    <mergeCell ref="A5:C5"/>
    <mergeCell ref="D5:F5"/>
    <mergeCell ref="A6:C6"/>
    <mergeCell ref="D6:F6"/>
    <mergeCell ref="A1:F1"/>
    <mergeCell ref="A2:C2"/>
    <mergeCell ref="D2:F2"/>
    <mergeCell ref="A3:C3"/>
    <mergeCell ref="D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C71"/>
  <sheetViews>
    <sheetView showGridLines="0" topLeftCell="A49" zoomScale="85" zoomScaleNormal="85" workbookViewId="0">
      <selection activeCell="O66" sqref="O66"/>
    </sheetView>
  </sheetViews>
  <sheetFormatPr defaultColWidth="8.6640625" defaultRowHeight="14.4" x14ac:dyDescent="0.3"/>
  <cols>
    <col min="1" max="29" width="15" style="1" customWidth="1"/>
  </cols>
  <sheetData>
    <row r="1" spans="1:17" ht="30" customHeight="1" x14ac:dyDescent="0.3">
      <c r="A1" s="54" t="s">
        <v>880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</row>
    <row r="2" spans="1:17" x14ac:dyDescent="0.3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1:17" ht="15" customHeight="1" x14ac:dyDescent="0.3"/>
    <row r="4" spans="1:17" ht="15" customHeight="1" x14ac:dyDescent="0.3"/>
    <row r="5" spans="1:17" ht="15" customHeight="1" x14ac:dyDescent="0.3"/>
    <row r="6" spans="1:17" ht="15" customHeight="1" x14ac:dyDescent="0.3"/>
    <row r="7" spans="1:17" ht="15" customHeight="1" x14ac:dyDescent="0.3">
      <c r="N7" s="26" t="s">
        <v>6</v>
      </c>
      <c r="O7" s="26" t="s">
        <v>805</v>
      </c>
    </row>
    <row r="8" spans="1:17" ht="15" customHeight="1" x14ac:dyDescent="0.3">
      <c r="N8" s="1" t="s">
        <v>20</v>
      </c>
      <c r="O8" s="22">
        <f>SUMIF('Raw Data'!G:G,N8,'Raw Data'!N:N)</f>
        <v>171756.05000000013</v>
      </c>
    </row>
    <row r="9" spans="1:17" ht="15" customHeight="1" x14ac:dyDescent="0.3">
      <c r="N9" s="1" t="s">
        <v>54</v>
      </c>
      <c r="O9" s="22">
        <f>SUMIF('Raw Data'!G:G,N9,'Raw Data'!N:N)</f>
        <v>49097.680000000015</v>
      </c>
    </row>
    <row r="10" spans="1:17" ht="15" customHeight="1" x14ac:dyDescent="0.3">
      <c r="N10" s="1" t="s">
        <v>38</v>
      </c>
      <c r="O10" s="22">
        <f>SUMIF('Raw Data'!G:G,N10,'Raw Data'!N:N)</f>
        <v>8338.7399999999961</v>
      </c>
    </row>
    <row r="11" spans="1:17" ht="15" customHeight="1" x14ac:dyDescent="0.3"/>
    <row r="12" spans="1:17" ht="15" customHeight="1" x14ac:dyDescent="0.3"/>
    <row r="13" spans="1:17" ht="15" customHeight="1" x14ac:dyDescent="0.3"/>
    <row r="14" spans="1:17" ht="15" customHeight="1" x14ac:dyDescent="0.3"/>
    <row r="15" spans="1:17" ht="15" customHeight="1" x14ac:dyDescent="0.3"/>
    <row r="16" spans="1:17" ht="15" customHeight="1" x14ac:dyDescent="0.3"/>
    <row r="21" spans="1:15" x14ac:dyDescent="0.3">
      <c r="N21" s="26" t="s">
        <v>10</v>
      </c>
      <c r="O21" s="26" t="s">
        <v>805</v>
      </c>
    </row>
    <row r="22" spans="1:15" x14ac:dyDescent="0.3">
      <c r="N22" s="1" t="s">
        <v>22</v>
      </c>
      <c r="O22" s="22">
        <f>SUMIF('Raw Data'!K:K,N22,'Raw Data'!N:N)</f>
        <v>41288.340000000018</v>
      </c>
    </row>
    <row r="23" spans="1:15" x14ac:dyDescent="0.3">
      <c r="N23" s="1" t="s">
        <v>77</v>
      </c>
      <c r="O23" s="22">
        <f>SUMIF('Raw Data'!K:K,N23,'Raw Data'!N:N)</f>
        <v>59288.389999999992</v>
      </c>
    </row>
    <row r="24" spans="1:15" x14ac:dyDescent="0.3">
      <c r="N24" s="1" t="s">
        <v>47</v>
      </c>
      <c r="O24" s="22">
        <f>SUMIF('Raw Data'!K:K,N24,'Raw Data'!N:N)</f>
        <v>50808.310000000012</v>
      </c>
    </row>
    <row r="25" spans="1:15" x14ac:dyDescent="0.3">
      <c r="N25" s="1" t="s">
        <v>40</v>
      </c>
      <c r="O25" s="22">
        <f>SUMIF('Raw Data'!K:K,N25,'Raw Data'!N:N)</f>
        <v>36398.750000000007</v>
      </c>
    </row>
    <row r="26" spans="1:15" x14ac:dyDescent="0.3">
      <c r="N26" s="1" t="s">
        <v>60</v>
      </c>
      <c r="O26" s="22">
        <f>SUMIF('Raw Data'!K:K,N26,'Raw Data'!N:N)</f>
        <v>41408.680000000015</v>
      </c>
    </row>
    <row r="30" spans="1:15" x14ac:dyDescent="0.3">
      <c r="A30" s="26" t="s">
        <v>819</v>
      </c>
      <c r="B30" s="26" t="s">
        <v>805</v>
      </c>
    </row>
    <row r="31" spans="1:15" x14ac:dyDescent="0.3">
      <c r="A31" s="1" t="s">
        <v>76</v>
      </c>
      <c r="B31" s="22">
        <f>SUMIF('Raw Data'!F:F,A31,'Raw Data'!N:N)</f>
        <v>67499.25</v>
      </c>
    </row>
    <row r="32" spans="1:15" x14ac:dyDescent="0.3">
      <c r="A32" s="1" t="s">
        <v>103</v>
      </c>
      <c r="B32" s="22">
        <f>SUMIF('Raw Data'!F:F,A32,'Raw Data'!N:N)</f>
        <v>67199.039999999994</v>
      </c>
    </row>
    <row r="33" spans="1:3" x14ac:dyDescent="0.3">
      <c r="A33" s="1" t="s">
        <v>142</v>
      </c>
      <c r="B33" s="22">
        <f>SUMIF('Raw Data'!F:F,A33,'Raw Data'!N:N)</f>
        <v>23399.22</v>
      </c>
    </row>
    <row r="34" spans="1:3" x14ac:dyDescent="0.3">
      <c r="A34" s="1" t="s">
        <v>19</v>
      </c>
      <c r="B34" s="22">
        <f>SUMIF('Raw Data'!F:F,A34,'Raw Data'!N:N)</f>
        <v>21999.119999999999</v>
      </c>
    </row>
    <row r="35" spans="1:3" x14ac:dyDescent="0.3">
      <c r="A35" s="1" t="s">
        <v>53</v>
      </c>
      <c r="B35" s="22">
        <f>SUMIF('Raw Data'!F:F,A35,'Raw Data'!N:N)</f>
        <v>15298.979999999994</v>
      </c>
    </row>
    <row r="38" spans="1:3" x14ac:dyDescent="0.3">
      <c r="C38" s="26" t="s">
        <v>881</v>
      </c>
    </row>
    <row r="39" spans="1:3" x14ac:dyDescent="0.3">
      <c r="C39" s="22">
        <f ca="1">IFERROR(FORECAST(1,B$59:B$71,ROW(INDIRECT("1:13"))),0)</f>
        <v>19160.460659340657</v>
      </c>
    </row>
    <row r="40" spans="1:3" ht="15" customHeight="1" x14ac:dyDescent="0.3">
      <c r="C40" s="22">
        <f ca="1">IFERROR(FORECAST(2,B$59:B$71,ROW(INDIRECT("1:13"))),0)</f>
        <v>18905.415549450547</v>
      </c>
    </row>
    <row r="41" spans="1:3" ht="15" customHeight="1" x14ac:dyDescent="0.3">
      <c r="C41" s="22">
        <f ca="1">IFERROR(FORECAST(3,B$59:B$71,ROW(INDIRECT("1:13"))),0)</f>
        <v>18650.370439560436</v>
      </c>
    </row>
    <row r="42" spans="1:3" ht="15" customHeight="1" x14ac:dyDescent="0.3">
      <c r="C42" s="22">
        <f ca="1">IFERROR(FORECAST(4,B$59:B$71,ROW(INDIRECT("1:13"))),0)</f>
        <v>18395.325329670326</v>
      </c>
    </row>
    <row r="43" spans="1:3" ht="15" customHeight="1" x14ac:dyDescent="0.3">
      <c r="C43" s="22">
        <f ca="1">IFERROR(FORECAST(5,B$59:B$71,ROW(INDIRECT("1:13"))),0)</f>
        <v>18140.280219780219</v>
      </c>
    </row>
    <row r="44" spans="1:3" ht="15" customHeight="1" x14ac:dyDescent="0.3">
      <c r="C44" s="22">
        <f ca="1">IFERROR(FORECAST(6,B$59:B$71,ROW(INDIRECT("1:13"))),0)</f>
        <v>17885.235109890109</v>
      </c>
    </row>
    <row r="45" spans="1:3" ht="15" customHeight="1" x14ac:dyDescent="0.3">
      <c r="C45" s="22">
        <f ca="1">IFERROR(FORECAST(7,B$59:B$71,ROW(INDIRECT("1:13"))),0)</f>
        <v>17630.189999999999</v>
      </c>
    </row>
    <row r="46" spans="1:3" x14ac:dyDescent="0.3">
      <c r="C46" s="22">
        <f ca="1">IFERROR(FORECAST(8,B$59:B$71,ROW(INDIRECT("1:13"))),0)</f>
        <v>17375.144890109888</v>
      </c>
    </row>
    <row r="47" spans="1:3" x14ac:dyDescent="0.3">
      <c r="C47" s="22">
        <f ca="1">IFERROR(FORECAST(9,B$59:B$71,ROW(INDIRECT("1:13"))),0)</f>
        <v>17120.099780219778</v>
      </c>
    </row>
    <row r="48" spans="1:3" x14ac:dyDescent="0.3">
      <c r="C48" s="22">
        <f ca="1">IFERROR(FORECAST(10,B$59:B$71,ROW(INDIRECT("1:13"))),0)</f>
        <v>16865.054670329668</v>
      </c>
    </row>
    <row r="49" spans="1:3" x14ac:dyDescent="0.3">
      <c r="C49" s="22">
        <f ca="1">IFERROR(FORECAST(11,B$59:B$71,ROW(INDIRECT("1:13"))),0)</f>
        <v>16610.009560439557</v>
      </c>
    </row>
    <row r="50" spans="1:3" x14ac:dyDescent="0.3">
      <c r="C50" s="22">
        <f ca="1">IFERROR(FORECAST(12,B$59:B$71,ROW(INDIRECT("1:13"))),0)</f>
        <v>16354.964450549447</v>
      </c>
    </row>
    <row r="51" spans="1:3" x14ac:dyDescent="0.3">
      <c r="C51" s="22">
        <f ca="1">IFERROR(FORECAST(13,B$59:B$71,ROW(INDIRECT("1:13"))),0)</f>
        <v>16099.919340659339</v>
      </c>
    </row>
    <row r="58" spans="1:3" x14ac:dyDescent="0.3">
      <c r="A58" s="26" t="s">
        <v>863</v>
      </c>
      <c r="B58" s="26" t="s">
        <v>805</v>
      </c>
    </row>
    <row r="59" spans="1:3" x14ac:dyDescent="0.3">
      <c r="A59" s="1" t="s">
        <v>867</v>
      </c>
      <c r="B59" s="22">
        <v>20919.330000000002</v>
      </c>
    </row>
    <row r="60" spans="1:3" x14ac:dyDescent="0.3">
      <c r="A60" s="1" t="s">
        <v>868</v>
      </c>
      <c r="B60" s="22">
        <v>17039.349999999999</v>
      </c>
    </row>
    <row r="61" spans="1:3" x14ac:dyDescent="0.3">
      <c r="A61" s="1" t="s">
        <v>869</v>
      </c>
      <c r="B61" s="22">
        <v>19299.45</v>
      </c>
    </row>
    <row r="62" spans="1:3" x14ac:dyDescent="0.3">
      <c r="A62" s="1" t="s">
        <v>870</v>
      </c>
      <c r="B62" s="22">
        <v>18479.400000000001</v>
      </c>
    </row>
    <row r="63" spans="1:3" x14ac:dyDescent="0.3">
      <c r="A63" s="1" t="s">
        <v>871</v>
      </c>
      <c r="B63" s="22">
        <v>15759.43</v>
      </c>
    </row>
    <row r="64" spans="1:3" x14ac:dyDescent="0.3">
      <c r="A64" s="1" t="s">
        <v>872</v>
      </c>
      <c r="B64" s="22">
        <v>12989.51</v>
      </c>
    </row>
    <row r="65" spans="1:2" x14ac:dyDescent="0.3">
      <c r="A65" s="1" t="s">
        <v>873</v>
      </c>
      <c r="B65" s="22">
        <v>20609.52</v>
      </c>
    </row>
    <row r="66" spans="1:2" x14ac:dyDescent="0.3">
      <c r="A66" s="1" t="s">
        <v>874</v>
      </c>
      <c r="B66" s="22">
        <v>12309.44</v>
      </c>
    </row>
    <row r="67" spans="1:2" x14ac:dyDescent="0.3">
      <c r="A67" s="1" t="s">
        <v>875</v>
      </c>
      <c r="B67" s="22">
        <v>23039.3</v>
      </c>
    </row>
    <row r="68" spans="1:2" x14ac:dyDescent="0.3">
      <c r="A68" s="1" t="s">
        <v>876</v>
      </c>
      <c r="B68" s="22">
        <v>25799.15</v>
      </c>
    </row>
    <row r="69" spans="1:2" x14ac:dyDescent="0.3">
      <c r="A69" s="1" t="s">
        <v>877</v>
      </c>
      <c r="B69" s="22">
        <v>16069.38</v>
      </c>
    </row>
    <row r="70" spans="1:2" x14ac:dyDescent="0.3">
      <c r="A70" s="1" t="s">
        <v>878</v>
      </c>
      <c r="B70" s="22">
        <v>19899.38</v>
      </c>
    </row>
    <row r="71" spans="1:2" x14ac:dyDescent="0.3">
      <c r="A71" s="1" t="s">
        <v>879</v>
      </c>
      <c r="B71" s="22">
        <v>6979.83</v>
      </c>
    </row>
  </sheetData>
  <mergeCells count="1">
    <mergeCell ref="A1:Q2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X80"/>
  <sheetViews>
    <sheetView showGridLines="0" tabSelected="1" zoomScale="90" zoomScaleNormal="90" workbookViewId="0">
      <selection activeCell="E18" sqref="E18"/>
    </sheetView>
  </sheetViews>
  <sheetFormatPr defaultColWidth="8.6640625" defaultRowHeight="14.4" x14ac:dyDescent="0.3"/>
  <cols>
    <col min="1" max="1" width="12" style="1" customWidth="1"/>
    <col min="2" max="2" width="18" style="1" customWidth="1"/>
    <col min="3" max="3" width="10" style="1" customWidth="1"/>
    <col min="4" max="4" width="12" style="1" customWidth="1"/>
    <col min="5" max="5" width="8" style="1" customWidth="1"/>
    <col min="6" max="7" width="12" style="1" customWidth="1"/>
    <col min="8" max="8" width="13.33203125" style="1" customWidth="1"/>
    <col min="9" max="9" width="12" style="1" customWidth="1"/>
    <col min="10" max="10" width="8" style="1" customWidth="1"/>
    <col min="11" max="11" width="12" style="1" customWidth="1"/>
    <col min="12" max="12" width="10" style="1" customWidth="1"/>
    <col min="13" max="13" width="8" style="1" customWidth="1"/>
    <col min="14" max="14" width="2" style="1" customWidth="1"/>
    <col min="15" max="15" width="10" style="1" customWidth="1"/>
    <col min="16" max="16" width="12" style="1" customWidth="1"/>
    <col min="17" max="17" width="10" style="1" customWidth="1"/>
    <col min="18" max="18" width="8" style="1" customWidth="1"/>
    <col min="19" max="19" width="7.6640625" style="1" customWidth="1"/>
    <col min="20" max="23" width="8" style="1" customWidth="1"/>
    <col min="24" max="24" width="16.6640625" style="1" customWidth="1"/>
  </cols>
  <sheetData>
    <row r="1" spans="1:24" ht="39.75" customHeight="1" x14ac:dyDescent="0.3">
      <c r="A1" s="55" t="s">
        <v>882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</row>
    <row r="2" spans="1:24" ht="15" customHeight="1" x14ac:dyDescent="0.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4" ht="15" customHeight="1" x14ac:dyDescent="0.3">
      <c r="A3" s="56" t="s">
        <v>883</v>
      </c>
      <c r="B3" s="56"/>
      <c r="C3" s="56"/>
      <c r="D3" s="56"/>
      <c r="E3" s="56"/>
      <c r="F3" s="56"/>
      <c r="G3" s="57" t="s">
        <v>884</v>
      </c>
      <c r="H3" s="57"/>
      <c r="I3" s="57"/>
      <c r="J3" s="57"/>
      <c r="K3" s="57"/>
      <c r="L3" s="57"/>
      <c r="M3" s="58" t="s">
        <v>885</v>
      </c>
      <c r="N3" s="58"/>
      <c r="O3" s="58"/>
      <c r="P3" s="58"/>
      <c r="Q3" s="58"/>
      <c r="R3" s="58"/>
      <c r="S3" s="59" t="s">
        <v>886</v>
      </c>
      <c r="T3" s="59"/>
      <c r="U3" s="59"/>
      <c r="V3" s="59"/>
      <c r="W3" s="59"/>
      <c r="X3" s="59"/>
    </row>
    <row r="4" spans="1:24" ht="30" customHeight="1" x14ac:dyDescent="0.3">
      <c r="A4" s="60">
        <f>SUM('Raw Data'!N2:N10000)</f>
        <v>229192.47000000032</v>
      </c>
      <c r="B4" s="60"/>
      <c r="C4" s="60"/>
      <c r="D4" s="60"/>
      <c r="E4" s="60"/>
      <c r="F4" s="60"/>
      <c r="G4" s="61">
        <f>COUNTA('Raw Data'!A2:A10000)</f>
        <v>250</v>
      </c>
      <c r="H4" s="61"/>
      <c r="I4" s="61"/>
      <c r="J4" s="61"/>
      <c r="K4" s="61"/>
      <c r="L4" s="61"/>
      <c r="M4" s="62">
        <f>SUMPRODUCT(1/COUNTIF('Raw Data'!C2:C251,'Raw Data'!C2:C251))</f>
        <v>50.000000000000028</v>
      </c>
      <c r="N4" s="62"/>
      <c r="O4" s="62"/>
      <c r="P4" s="62"/>
      <c r="Q4" s="62"/>
      <c r="R4" s="62"/>
      <c r="S4" s="63">
        <f>IFERROR(AVERAGE('Raw Data'!N2:N10000),0)</f>
        <v>916.76988000000131</v>
      </c>
      <c r="T4" s="63"/>
      <c r="U4" s="63"/>
      <c r="V4" s="63"/>
      <c r="W4" s="63"/>
      <c r="X4" s="63"/>
    </row>
    <row r="5" spans="1:24" ht="30" customHeight="1" x14ac:dyDescent="0.3">
      <c r="A5" s="60"/>
      <c r="B5" s="60"/>
      <c r="C5" s="60"/>
      <c r="D5" s="60"/>
      <c r="E5" s="60"/>
      <c r="F5" s="60"/>
      <c r="G5" s="61"/>
      <c r="H5" s="61"/>
      <c r="I5" s="61"/>
      <c r="J5" s="61"/>
      <c r="K5" s="61"/>
      <c r="L5" s="61"/>
      <c r="M5" s="62"/>
      <c r="N5" s="62"/>
      <c r="O5" s="62"/>
      <c r="P5" s="62"/>
      <c r="Q5" s="62"/>
      <c r="R5" s="62"/>
      <c r="S5" s="63"/>
      <c r="T5" s="63"/>
      <c r="U5" s="63"/>
      <c r="V5" s="63"/>
      <c r="W5" s="63"/>
      <c r="X5" s="63"/>
    </row>
    <row r="6" spans="1:24" ht="30" customHeight="1" x14ac:dyDescent="0.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spans="1:24" ht="30" customHeight="1" x14ac:dyDescent="0.3">
      <c r="A7" s="64" t="s">
        <v>887</v>
      </c>
      <c r="B7" s="64"/>
      <c r="C7" s="64"/>
      <c r="D7" s="64"/>
      <c r="E7" s="64"/>
      <c r="F7" s="64"/>
      <c r="G7" s="65" t="s">
        <v>888</v>
      </c>
      <c r="H7" s="65"/>
      <c r="I7" s="65"/>
      <c r="J7" s="65"/>
      <c r="K7" s="65"/>
      <c r="L7" s="65"/>
      <c r="M7" s="66" t="s">
        <v>889</v>
      </c>
      <c r="N7" s="66"/>
      <c r="O7" s="66"/>
      <c r="P7" s="66"/>
      <c r="Q7" s="66"/>
      <c r="R7" s="66"/>
      <c r="S7" s="67" t="s">
        <v>890</v>
      </c>
      <c r="T7" s="67"/>
      <c r="U7" s="67"/>
      <c r="V7" s="67"/>
      <c r="W7" s="67"/>
      <c r="X7" s="67"/>
    </row>
    <row r="8" spans="1:24" ht="27.75" customHeight="1" x14ac:dyDescent="0.3">
      <c r="A8" s="70">
        <f>SUM('Raw Data'!H2:H10000)</f>
        <v>753</v>
      </c>
      <c r="B8" s="70"/>
      <c r="C8" s="70"/>
      <c r="D8" s="70"/>
      <c r="E8" s="70"/>
      <c r="F8" s="70"/>
      <c r="G8" s="71" t="e">
        <f>INDEX('Raw Data'!F:F,MATCH(LARGE(COUNTIF('Raw Data'!F2:F251,'Raw Data'!F2:F251),1),COUNTIF('Raw Data'!F2:F251,'Raw Data'!F2:F251),0)+1)</f>
        <v>#N/A</v>
      </c>
      <c r="H8" s="71"/>
      <c r="I8" s="71"/>
      <c r="J8" s="71"/>
      <c r="K8" s="71"/>
      <c r="L8" s="71"/>
      <c r="M8" s="72" t="e">
        <f>INDEX('Raw Data'!K:K,MATCH(LARGE(COUNTIF('Raw Data'!K2:K251,'Raw Data'!K2:K251),1),COUNTIF('Raw Data'!K2:K251,'Raw Data'!K2:K251),0)+1)</f>
        <v>#N/A</v>
      </c>
      <c r="N8" s="72"/>
      <c r="O8" s="72"/>
      <c r="P8" s="72"/>
      <c r="Q8" s="72"/>
      <c r="R8" s="72"/>
      <c r="S8" s="73" t="e">
        <f>INDEX('Raw Data'!J:J,MATCH(LARGE(COUNTIF('Raw Data'!J2:J251,'Raw Data'!J2:J251),1),COUNTIF('Raw Data'!J2:J251,'Raw Data'!J2:J251),0)+1)</f>
        <v>#N/A</v>
      </c>
      <c r="T8" s="73"/>
      <c r="U8" s="73"/>
      <c r="V8" s="73"/>
      <c r="W8" s="73"/>
      <c r="X8" s="73"/>
    </row>
    <row r="9" spans="1:24" ht="27.75" customHeight="1" x14ac:dyDescent="0.3">
      <c r="A9" s="70"/>
      <c r="B9" s="70"/>
      <c r="C9" s="70"/>
      <c r="D9" s="70"/>
      <c r="E9" s="70"/>
      <c r="F9" s="70"/>
      <c r="G9" s="71"/>
      <c r="H9" s="71"/>
      <c r="I9" s="71"/>
      <c r="J9" s="71"/>
      <c r="K9" s="71"/>
      <c r="L9" s="71"/>
      <c r="M9" s="72"/>
      <c r="N9" s="72"/>
      <c r="O9" s="72"/>
      <c r="P9" s="72"/>
      <c r="Q9" s="72"/>
      <c r="R9" s="72"/>
      <c r="S9" s="73"/>
      <c r="T9" s="73"/>
      <c r="U9" s="73"/>
      <c r="V9" s="73"/>
      <c r="W9" s="73"/>
      <c r="X9" s="73"/>
    </row>
    <row r="10" spans="1:24" ht="27.75" customHeight="1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 spans="1:24" ht="27.75" customHeight="1" x14ac:dyDescent="0.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</row>
    <row r="12" spans="1:24" ht="15" customHeight="1" x14ac:dyDescent="0.3">
      <c r="A12" s="69" t="s">
        <v>891</v>
      </c>
      <c r="B12" s="69"/>
      <c r="C12" s="69"/>
      <c r="D12" s="69"/>
      <c r="E12" s="69"/>
      <c r="F12" s="69"/>
      <c r="G12" s="27"/>
      <c r="H12" s="69" t="s">
        <v>892</v>
      </c>
      <c r="I12" s="69"/>
      <c r="J12" s="69"/>
      <c r="K12" s="69"/>
      <c r="L12" s="69"/>
      <c r="M12" s="69"/>
      <c r="N12" s="27"/>
      <c r="O12" s="69" t="s">
        <v>893</v>
      </c>
      <c r="P12" s="69"/>
      <c r="Q12" s="69"/>
      <c r="R12" s="69"/>
      <c r="S12" s="69"/>
      <c r="T12" s="69"/>
      <c r="U12" s="27"/>
      <c r="V12" s="27"/>
      <c r="W12" s="27"/>
      <c r="X12" s="27"/>
    </row>
    <row r="13" spans="1:24" ht="24" customHeight="1" x14ac:dyDescent="0.3">
      <c r="A13" s="28" t="s">
        <v>6</v>
      </c>
      <c r="B13" s="28" t="s">
        <v>805</v>
      </c>
      <c r="C13" s="28" t="s">
        <v>894</v>
      </c>
      <c r="D13" s="28" t="s">
        <v>895</v>
      </c>
      <c r="E13" s="28" t="s">
        <v>808</v>
      </c>
      <c r="F13" s="28" t="s">
        <v>896</v>
      </c>
      <c r="G13" s="27"/>
      <c r="H13" s="28" t="s">
        <v>10</v>
      </c>
      <c r="I13" s="28" t="s">
        <v>805</v>
      </c>
      <c r="J13" s="28" t="s">
        <v>894</v>
      </c>
      <c r="K13" s="28" t="s">
        <v>895</v>
      </c>
      <c r="L13" s="28" t="s">
        <v>808</v>
      </c>
      <c r="M13" s="28" t="s">
        <v>896</v>
      </c>
      <c r="N13" s="27"/>
      <c r="O13" s="28" t="s">
        <v>812</v>
      </c>
      <c r="P13" s="28" t="s">
        <v>805</v>
      </c>
      <c r="Q13" s="28" t="s">
        <v>894</v>
      </c>
      <c r="R13" s="28" t="s">
        <v>808</v>
      </c>
      <c r="S13" s="28" t="s">
        <v>897</v>
      </c>
      <c r="T13" s="28" t="s">
        <v>795</v>
      </c>
      <c r="U13" s="27"/>
      <c r="V13" s="27"/>
      <c r="W13" s="27"/>
      <c r="X13" s="27"/>
    </row>
    <row r="14" spans="1:24" ht="53.25" customHeight="1" x14ac:dyDescent="0.3">
      <c r="A14" s="11" t="s">
        <v>20</v>
      </c>
      <c r="B14" s="29">
        <f>SUMIF('Raw Data'!G:G,A14,'Raw Data'!N:N)</f>
        <v>171756.05000000013</v>
      </c>
      <c r="C14" s="13">
        <f>COUNTIF('Raw Data'!G:G,A14)</f>
        <v>131</v>
      </c>
      <c r="D14" s="13">
        <f>SUMIF('Raw Data'!G:G,A14,'Raw Data'!H:H)</f>
        <v>395</v>
      </c>
      <c r="E14" s="29">
        <f>IFERROR(B14/C14,0)</f>
        <v>1311.1148854961841</v>
      </c>
      <c r="F14" s="14">
        <f>IFERROR(B14/SUM(B14:B16),0)</f>
        <v>0.74939656612627814</v>
      </c>
      <c r="G14" s="27"/>
      <c r="H14" s="11" t="s">
        <v>22</v>
      </c>
      <c r="I14" s="29">
        <f>SUMIF('Raw Data'!K:K,H14,'Raw Data'!N:N)</f>
        <v>41288.340000000018</v>
      </c>
      <c r="J14" s="13">
        <f>COUNTIF('Raw Data'!K:K,H14)</f>
        <v>54</v>
      </c>
      <c r="K14" s="13">
        <f>SUMIF('Raw Data'!K:K,H14,'Raw Data'!H:H)</f>
        <v>166</v>
      </c>
      <c r="L14" s="29">
        <f>IFERROR(I14/J14,0)</f>
        <v>764.59888888888918</v>
      </c>
      <c r="M14" s="14">
        <f>IFERROR(I14/SUM(I14:I18),0)</f>
        <v>0.18014701791904422</v>
      </c>
      <c r="N14" s="27"/>
      <c r="O14" s="11" t="s">
        <v>23</v>
      </c>
      <c r="P14" s="29">
        <f>SUMIF('Raw Data'!L:L,O14,'Raw Data'!N:N)</f>
        <v>62177.810000000019</v>
      </c>
      <c r="Q14" s="13">
        <f>COUNTIF('Raw Data'!L:L,O14)</f>
        <v>74</v>
      </c>
      <c r="R14" s="29">
        <f>IFERROR(P14/Q14,0)</f>
        <v>840.2406756756759</v>
      </c>
      <c r="S14" s="14">
        <f>IFERROR(P14/SUM(P14:P16),0)</f>
        <v>0.27129080636898761</v>
      </c>
      <c r="T14" s="19" t="str">
        <f>IF(P14=MAX(P14:P16),"🥇 Leader",IF(P14=MIN(P14:P16),"⚠️ Lowest","✅ Mid"))</f>
        <v>⚠️ Lowest</v>
      </c>
      <c r="U14" s="27"/>
      <c r="V14" s="27"/>
      <c r="W14" s="27"/>
      <c r="X14" s="27"/>
    </row>
    <row r="15" spans="1:24" ht="68.25" customHeight="1" x14ac:dyDescent="0.3">
      <c r="A15" s="15" t="s">
        <v>54</v>
      </c>
      <c r="B15" s="30">
        <f>SUMIF('Raw Data'!G:G,A15,'Raw Data'!N:N)</f>
        <v>49097.680000000015</v>
      </c>
      <c r="C15" s="17">
        <f>COUNTIF('Raw Data'!G:G,A15)</f>
        <v>76</v>
      </c>
      <c r="D15" s="17">
        <f>SUMIF('Raw Data'!G:G,A15,'Raw Data'!H:H)</f>
        <v>232</v>
      </c>
      <c r="E15" s="30">
        <f>IFERROR(B15/C15,0)</f>
        <v>646.0221052631581</v>
      </c>
      <c r="F15" s="18">
        <f>IFERROR(B15/SUM(B14:B16),0)</f>
        <v>0.214220301391228</v>
      </c>
      <c r="G15" s="27"/>
      <c r="H15" s="15" t="s">
        <v>77</v>
      </c>
      <c r="I15" s="30">
        <f>SUMIF('Raw Data'!K:K,H15,'Raw Data'!N:N)</f>
        <v>59288.389999999992</v>
      </c>
      <c r="J15" s="17">
        <f>COUNTIF('Raw Data'!K:K,H15)</f>
        <v>48</v>
      </c>
      <c r="K15" s="17">
        <f>SUMIF('Raw Data'!K:K,H15,'Raw Data'!H:H)</f>
        <v>161</v>
      </c>
      <c r="L15" s="30">
        <f>IFERROR(I15/J15,0)</f>
        <v>1235.1747916666666</v>
      </c>
      <c r="M15" s="18">
        <f>IFERROR(I15/SUM(I14:I18),0)</f>
        <v>0.25868384768487368</v>
      </c>
      <c r="N15" s="27"/>
      <c r="O15" s="15" t="s">
        <v>30</v>
      </c>
      <c r="P15" s="30">
        <f>SUMIF('Raw Data'!L:L,O15,'Raw Data'!N:N)</f>
        <v>84657.12000000001</v>
      </c>
      <c r="Q15" s="17">
        <f>COUNTIF('Raw Data'!L:L,O15)</f>
        <v>95</v>
      </c>
      <c r="R15" s="30">
        <f>IFERROR(P15/Q15,0)</f>
        <v>891.12757894736853</v>
      </c>
      <c r="S15" s="18">
        <f>IFERROR(P15/SUM(P14:P16),0)</f>
        <v>0.36937129740780744</v>
      </c>
      <c r="T15" s="20" t="str">
        <f>IF(P15=MAX(P14:P16),"🥇 Leader",IF(P15=MIN(P14:P16),"⚠️ Lowest","✅ Mid"))</f>
        <v>🥇 Leader</v>
      </c>
      <c r="U15" s="27"/>
      <c r="V15" s="27"/>
      <c r="W15" s="27"/>
      <c r="X15" s="27"/>
    </row>
    <row r="16" spans="1:24" ht="68.25" customHeight="1" x14ac:dyDescent="0.3">
      <c r="A16" s="11" t="s">
        <v>38</v>
      </c>
      <c r="B16" s="29">
        <f>SUMIF('Raw Data'!G:G,A16,'Raw Data'!N:N)</f>
        <v>8338.7399999999961</v>
      </c>
      <c r="C16" s="13">
        <f>COUNTIF('Raw Data'!G:G,A16)</f>
        <v>43</v>
      </c>
      <c r="D16" s="13">
        <f>SUMIF('Raw Data'!G:G,A16,'Raw Data'!H:H)</f>
        <v>126</v>
      </c>
      <c r="E16" s="29">
        <f>IFERROR(B16/C16,0)</f>
        <v>193.92418604651155</v>
      </c>
      <c r="F16" s="14">
        <f>IFERROR(B16/SUM(B14:B16),0)</f>
        <v>3.6383132482493821E-2</v>
      </c>
      <c r="G16" s="27"/>
      <c r="H16" s="11" t="s">
        <v>47</v>
      </c>
      <c r="I16" s="29">
        <f>SUMIF('Raw Data'!K:K,H16,'Raw Data'!N:N)</f>
        <v>50808.310000000012</v>
      </c>
      <c r="J16" s="13">
        <f>COUNTIF('Raw Data'!K:K,H16)</f>
        <v>59</v>
      </c>
      <c r="K16" s="13">
        <f>SUMIF('Raw Data'!K:K,H16,'Raw Data'!H:H)</f>
        <v>169</v>
      </c>
      <c r="L16" s="29">
        <f>IFERROR(I16/J16,0)</f>
        <v>861.15779661016973</v>
      </c>
      <c r="M16" s="14">
        <f>IFERROR(I16/SUM(I14:I18),0)</f>
        <v>0.221684028275449</v>
      </c>
      <c r="N16" s="27"/>
      <c r="O16" s="11" t="s">
        <v>41</v>
      </c>
      <c r="P16" s="29">
        <f>SUMIF('Raw Data'!L:L,O16,'Raw Data'!N:N)</f>
        <v>82357.540000000037</v>
      </c>
      <c r="Q16" s="13">
        <f>COUNTIF('Raw Data'!L:L,O16)</f>
        <v>81</v>
      </c>
      <c r="R16" s="29">
        <f>IFERROR(P16/Q16,0)</f>
        <v>1016.7597530864202</v>
      </c>
      <c r="S16" s="14">
        <f>IFERROR(P16/SUM(P14:P16),0)</f>
        <v>0.35933789622320494</v>
      </c>
      <c r="T16" s="19" t="str">
        <f>IF(P16=MAX(P14:P16),"🥇 Leader",IF(P16=MIN(P14:P16),"⚠️ Lowest","✅ Mid"))</f>
        <v>✅ Mid</v>
      </c>
      <c r="U16" s="27"/>
      <c r="V16" s="27"/>
      <c r="W16" s="27"/>
      <c r="X16" s="27"/>
    </row>
    <row r="17" spans="1:24" ht="68.25" customHeight="1" x14ac:dyDescent="0.3">
      <c r="A17" s="27"/>
      <c r="B17" s="27"/>
      <c r="C17" s="27"/>
      <c r="D17" s="27"/>
      <c r="E17" s="27"/>
      <c r="F17" s="27"/>
      <c r="G17" s="27"/>
      <c r="H17" s="15" t="s">
        <v>40</v>
      </c>
      <c r="I17" s="30">
        <f>SUMIF('Raw Data'!K:K,H17,'Raw Data'!N:N)</f>
        <v>36398.750000000007</v>
      </c>
      <c r="J17" s="17">
        <f>COUNTIF('Raw Data'!K:K,H17)</f>
        <v>42</v>
      </c>
      <c r="K17" s="17">
        <f>SUMIF('Raw Data'!K:K,H17,'Raw Data'!H:H)</f>
        <v>125</v>
      </c>
      <c r="L17" s="30">
        <f>IFERROR(I17/J17,0)</f>
        <v>866.63690476190493</v>
      </c>
      <c r="M17" s="18">
        <f>IFERROR(I17/SUM(I14:I18),0)</f>
        <v>0.1588130273215346</v>
      </c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57" customHeight="1" x14ac:dyDescent="0.3">
      <c r="A18" s="27"/>
      <c r="B18" s="27"/>
      <c r="C18" s="27"/>
      <c r="D18" s="27"/>
      <c r="E18" s="27"/>
      <c r="F18" s="27"/>
      <c r="G18" s="27"/>
      <c r="H18" s="11" t="s">
        <v>60</v>
      </c>
      <c r="I18" s="29">
        <f>SUMIF('Raw Data'!K:K,H18,'Raw Data'!N:N)</f>
        <v>41408.680000000015</v>
      </c>
      <c r="J18" s="13">
        <f>COUNTIF('Raw Data'!K:K,H18)</f>
        <v>47</v>
      </c>
      <c r="K18" s="13">
        <f>SUMIF('Raw Data'!K:K,H18,'Raw Data'!H:H)</f>
        <v>132</v>
      </c>
      <c r="L18" s="29">
        <f>IFERROR(I18/J18,0)</f>
        <v>881.03574468085139</v>
      </c>
      <c r="M18" s="14">
        <f>IFERROR(I18/SUM(I14:I18),0)</f>
        <v>0.18067207879909844</v>
      </c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 spans="1:24" ht="57" customHeight="1" x14ac:dyDescent="0.3">
      <c r="A19" s="27"/>
      <c r="B19" s="27"/>
      <c r="C19" s="27"/>
      <c r="D19" s="27"/>
      <c r="E19" s="27"/>
      <c r="F19" s="27"/>
      <c r="G19" s="27"/>
      <c r="H19" s="31"/>
      <c r="I19" s="32"/>
      <c r="J19" s="33"/>
      <c r="K19" s="33"/>
      <c r="L19" s="32"/>
      <c r="M19" s="34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 spans="1:24" ht="45.75" customHeight="1" x14ac:dyDescent="0.3">
      <c r="A20" s="68" t="s">
        <v>898</v>
      </c>
      <c r="B20" s="68"/>
      <c r="C20" s="68"/>
      <c r="D20" s="68"/>
      <c r="E20" s="68"/>
      <c r="F20" s="68"/>
      <c r="G20" s="68"/>
      <c r="H20" s="27"/>
      <c r="I20" s="68" t="s">
        <v>899</v>
      </c>
      <c r="J20" s="68"/>
      <c r="K20" s="68"/>
      <c r="L20" s="68"/>
      <c r="M20" s="68"/>
      <c r="N20" s="27"/>
      <c r="O20" s="69" t="s">
        <v>900</v>
      </c>
      <c r="P20" s="69"/>
      <c r="Q20" s="69"/>
      <c r="R20" s="69"/>
      <c r="S20" s="69"/>
      <c r="T20" s="69"/>
      <c r="U20" s="27"/>
      <c r="V20" s="27"/>
      <c r="W20" s="27"/>
      <c r="X20" s="27"/>
    </row>
    <row r="21" spans="1:24" ht="15" customHeight="1" x14ac:dyDescent="0.3">
      <c r="A21" s="28" t="s">
        <v>814</v>
      </c>
      <c r="B21" s="28" t="s">
        <v>825</v>
      </c>
      <c r="C21" s="28" t="s">
        <v>839</v>
      </c>
      <c r="D21" s="28" t="s">
        <v>805</v>
      </c>
      <c r="E21" s="28" t="s">
        <v>894</v>
      </c>
      <c r="F21" s="28" t="s">
        <v>812</v>
      </c>
      <c r="G21" s="28" t="s">
        <v>901</v>
      </c>
      <c r="H21" s="27"/>
      <c r="I21" s="28" t="s">
        <v>902</v>
      </c>
      <c r="J21" s="28" t="s">
        <v>894</v>
      </c>
      <c r="K21" s="28" t="s">
        <v>805</v>
      </c>
      <c r="L21" s="28" t="s">
        <v>903</v>
      </c>
      <c r="M21" s="28" t="s">
        <v>897</v>
      </c>
      <c r="N21" s="27"/>
      <c r="O21" s="28" t="s">
        <v>863</v>
      </c>
      <c r="P21" s="28" t="s">
        <v>805</v>
      </c>
      <c r="Q21" s="28" t="s">
        <v>904</v>
      </c>
      <c r="R21" s="28" t="s">
        <v>881</v>
      </c>
      <c r="S21" s="27"/>
      <c r="T21" s="27"/>
      <c r="U21" s="27"/>
      <c r="V21" s="27"/>
      <c r="W21" s="27"/>
      <c r="X21" s="27"/>
    </row>
    <row r="22" spans="1:24" ht="15" customHeight="1" x14ac:dyDescent="0.3">
      <c r="A22" s="20">
        <v>1</v>
      </c>
      <c r="B22" s="20" t="s">
        <v>112</v>
      </c>
      <c r="C22" s="20" t="s">
        <v>111</v>
      </c>
      <c r="D22" s="30">
        <f>SUMIF('Raw Data'!C:C,C22,'Raw Data'!N:N)</f>
        <v>15659.65</v>
      </c>
      <c r="E22" s="17">
        <f>COUNTIF('Raw Data'!C:C,C22)</f>
        <v>12</v>
      </c>
      <c r="F22" s="20" t="s">
        <v>41</v>
      </c>
      <c r="G22" s="20" t="s">
        <v>905</v>
      </c>
      <c r="H22" s="27"/>
      <c r="I22" s="20" t="s">
        <v>21</v>
      </c>
      <c r="J22" s="17">
        <f>COUNTIF('Raw Data'!J:J,I22)</f>
        <v>76</v>
      </c>
      <c r="K22" s="30">
        <f>SUMIF('Raw Data'!J:J,I22,'Raw Data'!N:N)</f>
        <v>57427.790000000023</v>
      </c>
      <c r="L22" s="30">
        <f>IFERROR(K22/J22,0)</f>
        <v>755.62881578947395</v>
      </c>
      <c r="M22" s="18">
        <f>IFERROR(K22/SUM(K22:K25),0)</f>
        <v>0.25056577993160078</v>
      </c>
      <c r="N22" s="27"/>
      <c r="O22" s="20" t="s">
        <v>867</v>
      </c>
      <c r="P22" s="30">
        <v>20919.330000000002</v>
      </c>
      <c r="Q22" s="20" t="s">
        <v>906</v>
      </c>
      <c r="R22" s="20" t="s">
        <v>907</v>
      </c>
      <c r="S22" s="27"/>
      <c r="T22" s="27"/>
      <c r="U22" s="27"/>
      <c r="V22" s="27"/>
      <c r="W22" s="27"/>
      <c r="X22" s="27"/>
    </row>
    <row r="23" spans="1:24" ht="27.75" customHeight="1" x14ac:dyDescent="0.3">
      <c r="A23" s="19">
        <v>2</v>
      </c>
      <c r="B23" s="19" t="s">
        <v>170</v>
      </c>
      <c r="C23" s="19" t="s">
        <v>169</v>
      </c>
      <c r="D23" s="29">
        <f>SUMIF('Raw Data'!C:C,C23,'Raw Data'!N:N)</f>
        <v>11919.769999999999</v>
      </c>
      <c r="E23" s="13">
        <f>COUNTIF('Raw Data'!C:C,C23)</f>
        <v>6</v>
      </c>
      <c r="F23" s="19" t="s">
        <v>41</v>
      </c>
      <c r="G23" s="19" t="s">
        <v>905</v>
      </c>
      <c r="H23" s="27"/>
      <c r="I23" s="19" t="s">
        <v>29</v>
      </c>
      <c r="J23" s="13">
        <f>COUNTIF('Raw Data'!J:J,I23)</f>
        <v>68</v>
      </c>
      <c r="K23" s="29">
        <f>SUMIF('Raw Data'!J:J,I23,'Raw Data'!N:N)</f>
        <v>61447.960000000014</v>
      </c>
      <c r="L23" s="29">
        <f>IFERROR(K23/J23,0)</f>
        <v>903.6464705882355</v>
      </c>
      <c r="M23" s="14">
        <f>IFERROR(K23/SUM(K22:K25),0)</f>
        <v>0.26810636492551437</v>
      </c>
      <c r="N23" s="27"/>
      <c r="O23" s="19" t="s">
        <v>868</v>
      </c>
      <c r="P23" s="29">
        <v>17039.349999999999</v>
      </c>
      <c r="Q23" s="14">
        <f t="shared" ref="Q23:Q34" si="0">IFERROR((P23-P22)/P22,0)</f>
        <v>-0.18547343533468819</v>
      </c>
      <c r="R23" s="19" t="str">
        <f t="shared" ref="R23:R34" si="1">IF(P23&gt;P22,"📈","📉")</f>
        <v>📉</v>
      </c>
      <c r="S23" s="27"/>
      <c r="T23" s="27"/>
      <c r="U23" s="27"/>
      <c r="V23" s="27"/>
      <c r="W23" s="27"/>
      <c r="X23" s="27"/>
    </row>
    <row r="24" spans="1:24" ht="27.75" customHeight="1" x14ac:dyDescent="0.3">
      <c r="A24" s="20">
        <v>3</v>
      </c>
      <c r="B24" s="20" t="s">
        <v>127</v>
      </c>
      <c r="C24" s="20" t="s">
        <v>126</v>
      </c>
      <c r="D24" s="30">
        <f>SUMIF('Raw Data'!C:C,C24,'Raw Data'!N:N)</f>
        <v>10649.8</v>
      </c>
      <c r="E24" s="17">
        <f>COUNTIF('Raw Data'!C:C,C24)</f>
        <v>5</v>
      </c>
      <c r="F24" s="20" t="s">
        <v>41</v>
      </c>
      <c r="G24" s="20" t="s">
        <v>905</v>
      </c>
      <c r="H24" s="27"/>
      <c r="I24" s="20" t="s">
        <v>69</v>
      </c>
      <c r="J24" s="17">
        <f>COUNTIF('Raw Data'!J:J,I24)</f>
        <v>54</v>
      </c>
      <c r="K24" s="30">
        <f>SUMIF('Raw Data'!J:J,I24,'Raw Data'!N:N)</f>
        <v>52118.310000000005</v>
      </c>
      <c r="L24" s="30">
        <f>IFERROR(K24/J24,0)</f>
        <v>965.15388888888901</v>
      </c>
      <c r="M24" s="18">
        <f>IFERROR(K24/SUM(K22:K25),0)</f>
        <v>0.22739974834251753</v>
      </c>
      <c r="N24" s="27"/>
      <c r="O24" s="20" t="s">
        <v>869</v>
      </c>
      <c r="P24" s="30">
        <v>19299.45</v>
      </c>
      <c r="Q24" s="18">
        <f t="shared" si="0"/>
        <v>0.1326400361516139</v>
      </c>
      <c r="R24" s="20" t="str">
        <f t="shared" si="1"/>
        <v>📈</v>
      </c>
      <c r="S24" s="27"/>
      <c r="T24" s="27"/>
      <c r="U24" s="27"/>
      <c r="V24" s="27"/>
      <c r="W24" s="27"/>
      <c r="X24" s="27"/>
    </row>
    <row r="25" spans="1:24" ht="27.75" customHeight="1" x14ac:dyDescent="0.3">
      <c r="A25" s="19">
        <v>4</v>
      </c>
      <c r="B25" s="19" t="s">
        <v>132</v>
      </c>
      <c r="C25" s="19" t="s">
        <v>131</v>
      </c>
      <c r="D25" s="29">
        <f>SUMIF('Raw Data'!C:C,C25,'Raw Data'!N:N)</f>
        <v>9799.73</v>
      </c>
      <c r="E25" s="13">
        <f>COUNTIF('Raw Data'!C:C,C25)</f>
        <v>8</v>
      </c>
      <c r="F25" s="19" t="s">
        <v>41</v>
      </c>
      <c r="G25" s="19" t="s">
        <v>905</v>
      </c>
      <c r="H25" s="27"/>
      <c r="I25" s="19" t="s">
        <v>39</v>
      </c>
      <c r="J25" s="13">
        <f>COUNTIF('Raw Data'!J:J,I25)</f>
        <v>52</v>
      </c>
      <c r="K25" s="29">
        <f>SUMIF('Raw Data'!J:J,I25,'Raw Data'!N:N)</f>
        <v>58198.409999999996</v>
      </c>
      <c r="L25" s="29">
        <f>IFERROR(K25/J25,0)</f>
        <v>1119.2001923076923</v>
      </c>
      <c r="M25" s="14">
        <f>IFERROR(K25/SUM(K22:K25),0)</f>
        <v>0.25392810680036737</v>
      </c>
      <c r="N25" s="27"/>
      <c r="O25" s="19" t="s">
        <v>870</v>
      </c>
      <c r="P25" s="29">
        <v>18479.400000000001</v>
      </c>
      <c r="Q25" s="14">
        <f t="shared" si="0"/>
        <v>-4.249084818479279E-2</v>
      </c>
      <c r="R25" s="19" t="str">
        <f t="shared" si="1"/>
        <v>📉</v>
      </c>
      <c r="S25" s="27"/>
      <c r="T25" s="27"/>
      <c r="U25" s="27"/>
      <c r="V25" s="27"/>
      <c r="W25" s="27"/>
      <c r="X25" s="27"/>
    </row>
    <row r="26" spans="1:24" ht="27.75" customHeight="1" x14ac:dyDescent="0.3">
      <c r="A26" s="20">
        <v>5</v>
      </c>
      <c r="B26" s="20" t="s">
        <v>17</v>
      </c>
      <c r="C26" s="20" t="s">
        <v>16</v>
      </c>
      <c r="D26" s="30">
        <f>SUMIF('Raw Data'!C:C,C26,'Raw Data'!N:N)</f>
        <v>8309.739999999998</v>
      </c>
      <c r="E26" s="17">
        <f>COUNTIF('Raw Data'!C:C,C26)</f>
        <v>8</v>
      </c>
      <c r="F26" s="20" t="s">
        <v>30</v>
      </c>
      <c r="G26" s="20" t="s">
        <v>905</v>
      </c>
      <c r="H26" s="27"/>
      <c r="I26" s="27"/>
      <c r="J26" s="27"/>
      <c r="K26" s="27"/>
      <c r="L26" s="27"/>
      <c r="M26" s="27"/>
      <c r="N26" s="27"/>
      <c r="O26" s="20" t="s">
        <v>871</v>
      </c>
      <c r="P26" s="30">
        <v>15759.43</v>
      </c>
      <c r="Q26" s="18">
        <f t="shared" si="0"/>
        <v>-0.1471893026829876</v>
      </c>
      <c r="R26" s="20" t="str">
        <f t="shared" si="1"/>
        <v>📉</v>
      </c>
      <c r="S26" s="27"/>
      <c r="T26" s="27"/>
      <c r="U26" s="27"/>
      <c r="V26" s="27"/>
      <c r="W26" s="27"/>
      <c r="X26" s="27"/>
    </row>
    <row r="27" spans="1:24" ht="27.75" customHeight="1" x14ac:dyDescent="0.3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19" t="s">
        <v>872</v>
      </c>
      <c r="P27" s="29">
        <v>12989.51</v>
      </c>
      <c r="Q27" s="14">
        <f t="shared" si="0"/>
        <v>-0.17576270207742284</v>
      </c>
      <c r="R27" s="19" t="str">
        <f t="shared" si="1"/>
        <v>📉</v>
      </c>
      <c r="S27" s="27"/>
      <c r="T27" s="27"/>
      <c r="U27" s="27"/>
      <c r="V27" s="27"/>
      <c r="W27" s="27"/>
      <c r="X27" s="27"/>
    </row>
    <row r="28" spans="1:24" ht="15" customHeight="1" x14ac:dyDescent="0.3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0" t="s">
        <v>873</v>
      </c>
      <c r="P28" s="30">
        <v>20609.52</v>
      </c>
      <c r="Q28" s="18">
        <f t="shared" si="0"/>
        <v>0.5866279790384703</v>
      </c>
      <c r="R28" s="20" t="str">
        <f t="shared" si="1"/>
        <v>📈</v>
      </c>
      <c r="S28" s="27"/>
      <c r="T28" s="27"/>
      <c r="U28" s="27"/>
      <c r="V28" s="27"/>
      <c r="W28" s="27"/>
      <c r="X28" s="27"/>
    </row>
    <row r="29" spans="1:24" ht="15" customHeight="1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19" t="s">
        <v>874</v>
      </c>
      <c r="P29" s="29">
        <v>12309.44</v>
      </c>
      <c r="Q29" s="14">
        <f t="shared" si="0"/>
        <v>-0.40273038867474836</v>
      </c>
      <c r="R29" s="19" t="str">
        <f t="shared" si="1"/>
        <v>📉</v>
      </c>
      <c r="S29" s="27"/>
      <c r="T29" s="27"/>
      <c r="U29" s="27"/>
      <c r="V29" s="27"/>
      <c r="W29" s="27"/>
      <c r="X29" s="27"/>
    </row>
    <row r="30" spans="1:24" ht="15" customHeight="1" x14ac:dyDescent="0.3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0" t="s">
        <v>875</v>
      </c>
      <c r="P30" s="30">
        <v>23039.3</v>
      </c>
      <c r="Q30" s="18">
        <f t="shared" si="0"/>
        <v>0.87167734681675191</v>
      </c>
      <c r="R30" s="20" t="str">
        <f t="shared" si="1"/>
        <v>📈</v>
      </c>
      <c r="S30" s="27"/>
      <c r="T30" s="27"/>
      <c r="U30" s="27"/>
      <c r="V30" s="27"/>
      <c r="W30" s="27"/>
      <c r="X30" s="27"/>
    </row>
    <row r="31" spans="1:24" ht="15" customHeight="1" x14ac:dyDescent="0.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19" t="s">
        <v>876</v>
      </c>
      <c r="P31" s="29">
        <v>25799.15</v>
      </c>
      <c r="Q31" s="14">
        <f t="shared" si="0"/>
        <v>0.11978879566653511</v>
      </c>
      <c r="R31" s="19" t="str">
        <f t="shared" si="1"/>
        <v>📈</v>
      </c>
      <c r="S31" s="27"/>
      <c r="T31" s="27"/>
      <c r="U31" s="27"/>
      <c r="V31" s="27"/>
      <c r="W31" s="27"/>
      <c r="X31" s="27"/>
    </row>
    <row r="32" spans="1:24" ht="15" customHeight="1" x14ac:dyDescent="0.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0" t="s">
        <v>877</v>
      </c>
      <c r="P32" s="30">
        <v>16069.38</v>
      </c>
      <c r="Q32" s="18">
        <f t="shared" si="0"/>
        <v>-0.37713529321702466</v>
      </c>
      <c r="R32" s="20" t="str">
        <f t="shared" si="1"/>
        <v>📉</v>
      </c>
      <c r="S32" s="27"/>
      <c r="T32" s="27"/>
      <c r="U32" s="27"/>
      <c r="V32" s="27"/>
      <c r="W32" s="27"/>
      <c r="X32" s="27"/>
    </row>
    <row r="33" spans="1:24" ht="15" customHeight="1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19" t="s">
        <v>878</v>
      </c>
      <c r="P33" s="29">
        <v>19899.38</v>
      </c>
      <c r="Q33" s="14">
        <f t="shared" si="0"/>
        <v>0.23834149170658744</v>
      </c>
      <c r="R33" s="19" t="str">
        <f t="shared" si="1"/>
        <v>📈</v>
      </c>
      <c r="S33" s="27"/>
      <c r="T33" s="27"/>
      <c r="U33" s="27"/>
      <c r="V33" s="27"/>
      <c r="W33" s="27"/>
      <c r="X33" s="27"/>
    </row>
    <row r="34" spans="1:24" ht="15" customHeight="1" x14ac:dyDescent="0.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0" t="s">
        <v>879</v>
      </c>
      <c r="P34" s="30">
        <v>6979.83</v>
      </c>
      <c r="Q34" s="18">
        <f t="shared" si="0"/>
        <v>-0.6492438457881603</v>
      </c>
      <c r="R34" s="20" t="str">
        <f t="shared" si="1"/>
        <v>📉</v>
      </c>
      <c r="S34" s="27"/>
      <c r="T34" s="27"/>
      <c r="U34" s="27"/>
      <c r="V34" s="27"/>
      <c r="W34" s="27"/>
      <c r="X34" s="27"/>
    </row>
    <row r="35" spans="1:24" ht="1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</row>
    <row r="36" spans="1:24" ht="15" customHeight="1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 spans="1:24" ht="15" customHeight="1" x14ac:dyDescent="0.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</row>
    <row r="38" spans="1:24" ht="15" customHeight="1" x14ac:dyDescent="0.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</row>
    <row r="39" spans="1:24" ht="15" customHeight="1" x14ac:dyDescent="0.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</row>
    <row r="40" spans="1:24" ht="15" customHeight="1" x14ac:dyDescent="0.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</row>
    <row r="41" spans="1:24" ht="15" customHeight="1" x14ac:dyDescent="0.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</row>
    <row r="42" spans="1:24" ht="15" customHeight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 spans="1:24" ht="15" customHeight="1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</row>
    <row r="44" spans="1:24" ht="15" customHeight="1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</row>
    <row r="45" spans="1:24" ht="15" customHeight="1" x14ac:dyDescent="0.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</row>
    <row r="46" spans="1:24" ht="15" customHeight="1" x14ac:dyDescent="0.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</row>
    <row r="47" spans="1:24" ht="15" customHeight="1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</row>
    <row r="48" spans="1:24" ht="15" customHeight="1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</row>
    <row r="49" spans="1:24" ht="15" customHeight="1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</row>
    <row r="50" spans="1:24" ht="15" customHeight="1" x14ac:dyDescent="0.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</row>
    <row r="51" spans="1:24" ht="15" customHeight="1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</row>
    <row r="52" spans="1:24" ht="15" customHeight="1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5" customHeight="1" x14ac:dyDescent="0.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</row>
    <row r="54" spans="1:24" ht="15" customHeight="1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</row>
    <row r="55" spans="1:24" ht="15" customHeight="1" x14ac:dyDescent="0.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</row>
    <row r="56" spans="1:24" ht="15" customHeight="1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</row>
    <row r="57" spans="1:24" ht="15" customHeight="1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</row>
    <row r="58" spans="1:24" ht="15" customHeight="1" x14ac:dyDescent="0.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</row>
    <row r="59" spans="1:24" ht="15" customHeight="1" x14ac:dyDescent="0.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</row>
    <row r="60" spans="1:24" ht="15" customHeight="1" x14ac:dyDescent="0.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</row>
    <row r="61" spans="1:24" ht="15" customHeight="1" x14ac:dyDescent="0.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</row>
    <row r="62" spans="1:24" ht="15" customHeight="1" x14ac:dyDescent="0.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</row>
    <row r="63" spans="1:24" ht="15" customHeight="1" x14ac:dyDescent="0.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</row>
    <row r="64" spans="1:24" ht="15" customHeight="1" x14ac:dyDescent="0.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</row>
    <row r="65" spans="1:24" ht="15" customHeight="1" x14ac:dyDescent="0.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</row>
    <row r="66" spans="1:24" ht="15" customHeight="1" x14ac:dyDescent="0.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</row>
    <row r="67" spans="1:24" ht="15" customHeight="1" x14ac:dyDescent="0.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</row>
    <row r="68" spans="1:24" ht="15" customHeight="1" x14ac:dyDescent="0.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</row>
    <row r="69" spans="1:24" ht="15" customHeight="1" x14ac:dyDescent="0.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</row>
    <row r="70" spans="1:24" ht="15" customHeight="1" x14ac:dyDescent="0.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</row>
    <row r="71" spans="1:24" ht="15" customHeight="1" x14ac:dyDescent="0.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</row>
    <row r="72" spans="1:24" ht="15" customHeight="1" x14ac:dyDescent="0.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</row>
    <row r="73" spans="1:24" ht="15" customHeight="1" x14ac:dyDescent="0.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</row>
    <row r="74" spans="1:24" ht="15" customHeight="1" x14ac:dyDescent="0.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</row>
    <row r="75" spans="1:24" ht="15" customHeight="1" x14ac:dyDescent="0.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</row>
    <row r="76" spans="1:24" ht="15" customHeight="1" x14ac:dyDescent="0.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</row>
    <row r="77" spans="1:24" ht="15" customHeight="1" x14ac:dyDescent="0.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</row>
    <row r="78" spans="1:24" ht="15" customHeight="1" x14ac:dyDescent="0.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</row>
    <row r="79" spans="1:24" ht="15" customHeight="1" x14ac:dyDescent="0.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</row>
    <row r="80" spans="1:24" ht="15" customHeight="1" x14ac:dyDescent="0.3"/>
  </sheetData>
  <mergeCells count="23">
    <mergeCell ref="A20:G20"/>
    <mergeCell ref="I20:M20"/>
    <mergeCell ref="O20:T20"/>
    <mergeCell ref="A8:F9"/>
    <mergeCell ref="G8:L9"/>
    <mergeCell ref="M8:R9"/>
    <mergeCell ref="S8:X9"/>
    <mergeCell ref="A12:F12"/>
    <mergeCell ref="H12:M12"/>
    <mergeCell ref="O12:T12"/>
    <mergeCell ref="A4:F5"/>
    <mergeCell ref="G4:L5"/>
    <mergeCell ref="M4:R5"/>
    <mergeCell ref="S4:X5"/>
    <mergeCell ref="A7:F7"/>
    <mergeCell ref="G7:L7"/>
    <mergeCell ref="M7:R7"/>
    <mergeCell ref="S7:X7"/>
    <mergeCell ref="A1:X1"/>
    <mergeCell ref="A3:F3"/>
    <mergeCell ref="G3:L3"/>
    <mergeCell ref="M3:R3"/>
    <mergeCell ref="S3:X3"/>
  </mergeCells>
  <conditionalFormatting sqref="B14:B16">
    <cfRule type="colorScale" priority="2">
      <colorScale>
        <cfvo type="min"/>
        <cfvo type="percentile" val="50"/>
        <cfvo type="max"/>
        <color rgb="FFFFEB84"/>
        <color rgb="FFFFEB84"/>
        <color rgb="FF70AD47"/>
      </colorScale>
    </cfRule>
  </conditionalFormatting>
  <conditionalFormatting sqref="I14:I19">
    <cfRule type="colorScale" priority="3">
      <colorScale>
        <cfvo type="min"/>
        <cfvo type="percentile" val="50"/>
        <cfvo type="max"/>
        <color rgb="FFFFEB84"/>
        <color rgb="FFFFEB84"/>
        <color rgb="FF70AD47"/>
      </colorScale>
    </cfRule>
  </conditionalFormatting>
  <pageMargins left="0.75" right="0.75" top="1" bottom="1" header="0.511811023622047" footer="0.511811023622047"/>
  <pageSetup paperSize="9" orientation="portrait" horizontalDpi="300" verticalDpi="300"/>
  <ignoredErrors>
    <ignoredError sqref="S8 M8 G8" evalError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E480E"/>
  </sheetPr>
  <dimension ref="A1:L59"/>
  <sheetViews>
    <sheetView showGridLines="0" zoomScale="115" zoomScaleNormal="115" workbookViewId="0">
      <selection sqref="A1:L1"/>
    </sheetView>
  </sheetViews>
  <sheetFormatPr defaultColWidth="8.6640625" defaultRowHeight="14.4" x14ac:dyDescent="0.3"/>
  <cols>
    <col min="1" max="12" width="20" style="1" customWidth="1"/>
  </cols>
  <sheetData>
    <row r="1" spans="1:12" ht="31.5" customHeight="1" x14ac:dyDescent="0.3">
      <c r="A1" s="74" t="s">
        <v>908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2" ht="31.5" customHeight="1" x14ac:dyDescent="0.3">
      <c r="A2" s="75" t="str">
        <f ca="1">CONCATENATE("Report Generated: ",TEXT(TODAY(),"DD-MMM-YYYY"),"  |  Data Period: Apr 2024 – Apr 2025")</f>
        <v>Report Generated: 29-Mar-2026  |  Data Period: Apr 2024 – Apr 2025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4" spans="1:12" ht="31.5" customHeight="1" x14ac:dyDescent="0.3">
      <c r="A4" s="75" t="s">
        <v>909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2" ht="19.5" customHeight="1" x14ac:dyDescent="0.3">
      <c r="A5" s="76" t="s">
        <v>910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2" ht="19.5" customHeight="1" x14ac:dyDescent="0.3">
      <c r="A6" s="76" t="s">
        <v>911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</row>
    <row r="7" spans="1:12" ht="19.5" customHeight="1" x14ac:dyDescent="0.3">
      <c r="A7" s="76" t="s">
        <v>912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</row>
    <row r="8" spans="1:12" ht="19.5" customHeight="1" x14ac:dyDescent="0.3">
      <c r="A8" s="76" t="s">
        <v>913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</row>
    <row r="10" spans="1:12" ht="31.5" customHeight="1" x14ac:dyDescent="0.3">
      <c r="A10" s="77" t="s">
        <v>914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</row>
    <row r="11" spans="1:12" ht="19.5" customHeight="1" x14ac:dyDescent="0.3">
      <c r="A11" s="78" t="s">
        <v>915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</row>
    <row r="12" spans="1:12" ht="19.5" customHeight="1" x14ac:dyDescent="0.3">
      <c r="A12" s="76" t="s">
        <v>916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</row>
    <row r="13" spans="1:12" ht="6" customHeight="1" x14ac:dyDescent="0.3"/>
    <row r="14" spans="1:12" ht="19.5" customHeight="1" x14ac:dyDescent="0.3">
      <c r="A14" s="78" t="s">
        <v>917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</row>
    <row r="15" spans="1:12" ht="19.5" customHeight="1" x14ac:dyDescent="0.3">
      <c r="A15" s="76" t="s">
        <v>918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</row>
    <row r="16" spans="1:12" ht="6" customHeight="1" x14ac:dyDescent="0.3"/>
    <row r="17" spans="1:12" ht="19.5" customHeight="1" x14ac:dyDescent="0.3">
      <c r="A17" s="78" t="s">
        <v>919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</row>
    <row r="18" spans="1:12" ht="19.5" customHeight="1" x14ac:dyDescent="0.3">
      <c r="A18" s="76" t="s">
        <v>920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</row>
    <row r="19" spans="1:12" ht="6" customHeight="1" x14ac:dyDescent="0.3"/>
    <row r="20" spans="1:12" ht="19.5" customHeight="1" x14ac:dyDescent="0.3">
      <c r="A20" s="78" t="s">
        <v>921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</row>
    <row r="21" spans="1:12" ht="19.5" customHeight="1" x14ac:dyDescent="0.3">
      <c r="A21" s="76" t="s">
        <v>922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</row>
    <row r="22" spans="1:12" ht="6" customHeight="1" x14ac:dyDescent="0.3"/>
    <row r="23" spans="1:12" ht="19.5" customHeight="1" x14ac:dyDescent="0.3">
      <c r="A23" s="78" t="s">
        <v>923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</row>
    <row r="24" spans="1:12" ht="19.5" customHeight="1" x14ac:dyDescent="0.3">
      <c r="A24" s="76" t="s">
        <v>924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</row>
    <row r="25" spans="1:12" ht="6" customHeight="1" x14ac:dyDescent="0.3"/>
    <row r="26" spans="1:12" ht="19.5" customHeight="1" x14ac:dyDescent="0.3">
      <c r="A26" s="78" t="s">
        <v>925</v>
      </c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</row>
    <row r="27" spans="1:12" ht="19.5" customHeight="1" x14ac:dyDescent="0.3">
      <c r="A27" s="76" t="s">
        <v>926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</row>
    <row r="28" spans="1:12" ht="6" customHeight="1" x14ac:dyDescent="0.3"/>
    <row r="29" spans="1:12" ht="19.5" customHeight="1" x14ac:dyDescent="0.3">
      <c r="A29" s="78" t="s">
        <v>927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</row>
    <row r="30" spans="1:12" ht="19.5" customHeight="1" x14ac:dyDescent="0.3">
      <c r="A30" s="76" t="s">
        <v>928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</row>
    <row r="31" spans="1:12" ht="6" customHeight="1" x14ac:dyDescent="0.3"/>
    <row r="32" spans="1:12" ht="19.5" customHeight="1" x14ac:dyDescent="0.3">
      <c r="A32" s="78" t="s">
        <v>929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</row>
    <row r="33" spans="1:12" ht="19.5" customHeight="1" x14ac:dyDescent="0.3">
      <c r="A33" s="76" t="s">
        <v>930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</row>
    <row r="34" spans="1:12" ht="6" customHeight="1" x14ac:dyDescent="0.3"/>
    <row r="35" spans="1:12" ht="19.5" customHeight="1" x14ac:dyDescent="0.3">
      <c r="A35" s="78" t="s">
        <v>931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</row>
    <row r="36" spans="1:12" ht="19.5" customHeight="1" x14ac:dyDescent="0.3">
      <c r="A36" s="76" t="s">
        <v>932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</row>
    <row r="37" spans="1:12" ht="6" customHeight="1" x14ac:dyDescent="0.3"/>
    <row r="38" spans="1:12" ht="19.5" customHeight="1" x14ac:dyDescent="0.3">
      <c r="A38" s="78" t="s">
        <v>933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</row>
    <row r="39" spans="1:12" ht="19.5" customHeight="1" x14ac:dyDescent="0.3">
      <c r="A39" s="76" t="s">
        <v>934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</row>
    <row r="40" spans="1:12" ht="6" customHeight="1" x14ac:dyDescent="0.3"/>
    <row r="42" spans="1:12" ht="31.5" customHeight="1" x14ac:dyDescent="0.3">
      <c r="A42" s="79" t="s">
        <v>935</v>
      </c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</row>
    <row r="43" spans="1:12" ht="19.5" customHeight="1" x14ac:dyDescent="0.3">
      <c r="A43" s="76" t="s">
        <v>936</v>
      </c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</row>
    <row r="44" spans="1:12" ht="19.5" customHeight="1" x14ac:dyDescent="0.3">
      <c r="A44" s="76" t="s">
        <v>937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</row>
    <row r="45" spans="1:12" ht="19.5" customHeight="1" x14ac:dyDescent="0.3">
      <c r="A45" s="76" t="s">
        <v>938</v>
      </c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</row>
    <row r="46" spans="1:12" ht="19.5" customHeight="1" x14ac:dyDescent="0.3">
      <c r="A46" s="76" t="s">
        <v>939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</row>
    <row r="47" spans="1:12" ht="19.5" customHeight="1" x14ac:dyDescent="0.3">
      <c r="A47" s="76" t="s">
        <v>940</v>
      </c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</row>
    <row r="48" spans="1:12" ht="19.5" customHeight="1" x14ac:dyDescent="0.3">
      <c r="A48" s="76" t="s">
        <v>941</v>
      </c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</row>
    <row r="49" spans="1:12" ht="19.5" customHeight="1" x14ac:dyDescent="0.3">
      <c r="A49" s="76" t="s">
        <v>942</v>
      </c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</row>
    <row r="50" spans="1:12" ht="19.5" customHeight="1" x14ac:dyDescent="0.3">
      <c r="A50" s="76" t="s">
        <v>943</v>
      </c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</row>
    <row r="52" spans="1:12" ht="31.5" customHeight="1" x14ac:dyDescent="0.3">
      <c r="A52" s="75" t="s">
        <v>944</v>
      </c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</row>
    <row r="53" spans="1:12" ht="19.5" customHeight="1" x14ac:dyDescent="0.3">
      <c r="A53" s="76" t="s">
        <v>945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</row>
    <row r="54" spans="1:12" ht="19.5" customHeight="1" x14ac:dyDescent="0.3">
      <c r="A54" s="76" t="s">
        <v>946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</row>
    <row r="55" spans="1:12" ht="19.5" customHeight="1" x14ac:dyDescent="0.3">
      <c r="A55" s="76" t="s">
        <v>947</v>
      </c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</row>
    <row r="56" spans="1:12" ht="19.5" customHeight="1" x14ac:dyDescent="0.3">
      <c r="A56" s="76" t="s">
        <v>948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</row>
    <row r="57" spans="1:12" ht="19.5" customHeight="1" x14ac:dyDescent="0.3">
      <c r="A57" s="76" t="s">
        <v>949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</row>
    <row r="58" spans="1:12" ht="19.5" customHeight="1" x14ac:dyDescent="0.3">
      <c r="A58" s="76" t="s">
        <v>950</v>
      </c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</row>
    <row r="59" spans="1:12" ht="19.5" customHeight="1" x14ac:dyDescent="0.3">
      <c r="A59" s="76" t="s">
        <v>951</v>
      </c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</row>
  </sheetData>
  <mergeCells count="45">
    <mergeCell ref="A55:L55"/>
    <mergeCell ref="A56:L56"/>
    <mergeCell ref="A57:L57"/>
    <mergeCell ref="A58:L58"/>
    <mergeCell ref="A59:L59"/>
    <mergeCell ref="A49:L49"/>
    <mergeCell ref="A50:L50"/>
    <mergeCell ref="A52:L52"/>
    <mergeCell ref="A53:L53"/>
    <mergeCell ref="A54:L54"/>
    <mergeCell ref="A44:L44"/>
    <mergeCell ref="A45:L45"/>
    <mergeCell ref="A46:L46"/>
    <mergeCell ref="A47:L47"/>
    <mergeCell ref="A48:L48"/>
    <mergeCell ref="A36:L36"/>
    <mergeCell ref="A38:L38"/>
    <mergeCell ref="A39:L39"/>
    <mergeCell ref="A42:L42"/>
    <mergeCell ref="A43:L43"/>
    <mergeCell ref="A29:L29"/>
    <mergeCell ref="A30:L30"/>
    <mergeCell ref="A32:L32"/>
    <mergeCell ref="A33:L33"/>
    <mergeCell ref="A35:L35"/>
    <mergeCell ref="A21:L21"/>
    <mergeCell ref="A23:L23"/>
    <mergeCell ref="A24:L24"/>
    <mergeCell ref="A26:L26"/>
    <mergeCell ref="A27:L27"/>
    <mergeCell ref="A14:L14"/>
    <mergeCell ref="A15:L15"/>
    <mergeCell ref="A17:L17"/>
    <mergeCell ref="A18:L18"/>
    <mergeCell ref="A20:L20"/>
    <mergeCell ref="A7:L7"/>
    <mergeCell ref="A8:L8"/>
    <mergeCell ref="A10:L10"/>
    <mergeCell ref="A11:L11"/>
    <mergeCell ref="A12:L12"/>
    <mergeCell ref="A1:L1"/>
    <mergeCell ref="A2:L2"/>
    <mergeCell ref="A4:L4"/>
    <mergeCell ref="A5:L5"/>
    <mergeCell ref="A6:L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Analysis</vt:lpstr>
      <vt:lpstr>Visualizations</vt:lpstr>
      <vt:lpstr>Dashboard</vt:lpstr>
      <vt:lpstr>Insights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2</cp:revision>
  <dcterms:created xsi:type="dcterms:W3CDTF">2026-03-28T10:40:39Z</dcterms:created>
  <dcterms:modified xsi:type="dcterms:W3CDTF">2026-03-29T05:22:05Z</dcterms:modified>
  <dc:language>en-US</dc:language>
</cp:coreProperties>
</file>
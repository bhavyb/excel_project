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0_Red_&amp;_White\excel_project\Final_Project\"/>
    </mc:Choice>
  </mc:AlternateContent>
  <bookViews>
    <workbookView xWindow="0" yWindow="0" windowWidth="23040" windowHeight="9264" activeTab="7"/>
  </bookViews>
  <sheets>
    <sheet name="RawData" sheetId="1" r:id="rId1"/>
    <sheet name="BasicTask" sheetId="2" r:id="rId2"/>
    <sheet name="Scenario Summary" sheetId="4" r:id="rId3"/>
    <sheet name="goal Seek" sheetId="5" r:id="rId4"/>
    <sheet name="Linear Regression" sheetId="10" r:id="rId5"/>
    <sheet name="GroupBy " sheetId="8" r:id="rId6"/>
    <sheet name="PivotTable" sheetId="11" r:id="rId7"/>
    <sheet name="Dashboard" sheetId="9" r:id="rId8"/>
  </sheets>
  <externalReferences>
    <externalReference r:id="rId9"/>
  </externalReferences>
  <definedNames>
    <definedName name="NativeTimeline_Date">#N/A</definedName>
    <definedName name="NativeTimeline_Date1">#N/A</definedName>
    <definedName name="Slicer_Category">#N/A</definedName>
    <definedName name="Slicer_Payment_Method">#N/A</definedName>
    <definedName name="Slicer_Region">#N/A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9" l="1"/>
  <c r="A16" i="9"/>
  <c r="A12" i="9"/>
  <c r="A8" i="9"/>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7" i="8"/>
  <c r="F166" i="8"/>
  <c r="F165" i="8"/>
  <c r="F164"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F2" i="8"/>
  <c r="K13" i="10"/>
  <c r="K12" i="10"/>
  <c r="I8" i="10"/>
  <c r="P7" i="10"/>
  <c r="N7" i="10"/>
  <c r="M7" i="10"/>
  <c r="L7" i="10"/>
  <c r="I7" i="10"/>
  <c r="P6" i="10"/>
  <c r="N6" i="10"/>
  <c r="M6" i="10"/>
  <c r="L6" i="10"/>
  <c r="I6" i="10"/>
  <c r="P5" i="10"/>
  <c r="N5" i="10"/>
  <c r="M5" i="10"/>
  <c r="L5" i="10"/>
  <c r="I5" i="10"/>
  <c r="Q4" i="10"/>
  <c r="P4" i="10"/>
  <c r="O4" i="10"/>
  <c r="N4" i="10"/>
  <c r="M4" i="10"/>
  <c r="L4" i="10"/>
  <c r="K4" i="10"/>
  <c r="J4" i="10"/>
  <c r="I4" i="10"/>
  <c r="I3" i="10"/>
  <c r="I2" i="10"/>
  <c r="O5" i="5"/>
  <c r="O4" i="5"/>
  <c r="O3" i="5"/>
  <c r="E4" i="2"/>
  <c r="D4" i="2"/>
  <c r="B4" i="2"/>
  <c r="A4" i="2"/>
  <c r="E3" i="2"/>
  <c r="D3" i="2"/>
  <c r="B3" i="2"/>
  <c r="A3" i="2"/>
  <c r="E2" i="2"/>
  <c r="D2" i="2"/>
  <c r="B2" i="2"/>
  <c r="A2" i="2"/>
  <c r="AC49" i="1"/>
  <c r="AB49" i="1"/>
  <c r="AA49" i="1"/>
  <c r="Z49" i="1"/>
  <c r="Y49" i="1"/>
  <c r="X49" i="1"/>
  <c r="W49" i="1"/>
  <c r="V49" i="1"/>
  <c r="U49" i="1"/>
  <c r="T49" i="1"/>
  <c r="S49" i="1"/>
  <c r="R49" i="1"/>
  <c r="Q49" i="1"/>
  <c r="P49" i="1"/>
  <c r="AC48" i="1"/>
  <c r="AB48" i="1"/>
  <c r="AA48" i="1"/>
  <c r="Z48" i="1"/>
  <c r="Y48" i="1"/>
  <c r="X48" i="1"/>
  <c r="W48" i="1"/>
  <c r="V48" i="1"/>
  <c r="U48" i="1"/>
  <c r="T48" i="1"/>
  <c r="S48" i="1"/>
  <c r="R48" i="1"/>
  <c r="Q48" i="1"/>
  <c r="P48" i="1"/>
  <c r="AC47" i="1"/>
  <c r="AB47" i="1"/>
  <c r="AA47" i="1"/>
  <c r="Z47" i="1"/>
  <c r="Y47" i="1"/>
  <c r="X47" i="1"/>
  <c r="W47" i="1"/>
  <c r="V47" i="1"/>
  <c r="U47" i="1"/>
  <c r="T47" i="1"/>
  <c r="S47" i="1"/>
  <c r="R47" i="1"/>
  <c r="Q47" i="1"/>
  <c r="P47" i="1"/>
  <c r="AC46" i="1"/>
  <c r="AB46" i="1"/>
  <c r="AA46" i="1"/>
  <c r="Z46" i="1"/>
  <c r="Y46" i="1"/>
  <c r="X46" i="1"/>
  <c r="W46" i="1"/>
  <c r="V46" i="1"/>
  <c r="U46" i="1"/>
  <c r="T46" i="1"/>
  <c r="S46" i="1"/>
  <c r="R46" i="1"/>
  <c r="Q46" i="1"/>
  <c r="P46" i="1"/>
  <c r="AC45" i="1"/>
  <c r="AB45" i="1"/>
  <c r="AA45" i="1"/>
  <c r="Z45" i="1"/>
  <c r="Y45" i="1"/>
  <c r="X45" i="1"/>
  <c r="W45" i="1"/>
  <c r="V45" i="1"/>
  <c r="U45" i="1"/>
  <c r="T45" i="1"/>
  <c r="S45" i="1"/>
  <c r="R45" i="1"/>
  <c r="Q45" i="1"/>
  <c r="P45" i="1"/>
  <c r="AC44" i="1"/>
  <c r="AB44" i="1"/>
  <c r="AA44" i="1"/>
  <c r="Z44" i="1"/>
  <c r="Y44" i="1"/>
  <c r="X44" i="1"/>
  <c r="W44" i="1"/>
  <c r="V44" i="1"/>
  <c r="U44" i="1"/>
  <c r="T44" i="1"/>
  <c r="S44" i="1"/>
  <c r="R44" i="1"/>
  <c r="Q44" i="1"/>
  <c r="P44" i="1"/>
  <c r="AC43" i="1"/>
  <c r="AB43" i="1"/>
  <c r="AA43" i="1"/>
  <c r="Z43" i="1"/>
  <c r="Y43" i="1"/>
  <c r="X43" i="1"/>
  <c r="W43" i="1"/>
  <c r="V43" i="1"/>
  <c r="U43" i="1"/>
  <c r="T43" i="1"/>
  <c r="S43" i="1"/>
  <c r="R43" i="1"/>
  <c r="Q43" i="1"/>
  <c r="P43" i="1"/>
  <c r="AC42" i="1"/>
  <c r="AB42" i="1"/>
  <c r="AA42" i="1"/>
  <c r="Z42" i="1"/>
  <c r="Y42" i="1"/>
  <c r="X42" i="1"/>
  <c r="W42" i="1"/>
  <c r="V42" i="1"/>
  <c r="U42" i="1"/>
  <c r="T42" i="1"/>
  <c r="S42" i="1"/>
  <c r="R42" i="1"/>
  <c r="Q42" i="1"/>
  <c r="P42" i="1"/>
  <c r="AC41" i="1"/>
  <c r="AB41" i="1"/>
  <c r="AA41" i="1"/>
  <c r="Z41" i="1"/>
  <c r="Y41" i="1"/>
  <c r="X41" i="1"/>
  <c r="W41" i="1"/>
  <c r="V41" i="1"/>
  <c r="U41" i="1"/>
  <c r="T41" i="1"/>
  <c r="S41" i="1"/>
  <c r="R41" i="1"/>
  <c r="Q41" i="1"/>
  <c r="P41" i="1"/>
  <c r="AC40" i="1"/>
  <c r="AB40" i="1"/>
  <c r="AA40" i="1"/>
  <c r="Z40" i="1"/>
  <c r="Y40" i="1"/>
  <c r="X40" i="1"/>
  <c r="W40" i="1"/>
  <c r="V40" i="1"/>
  <c r="U40" i="1"/>
  <c r="T40" i="1"/>
  <c r="S40" i="1"/>
  <c r="R40" i="1"/>
  <c r="Q40" i="1"/>
  <c r="P40" i="1"/>
  <c r="AC39" i="1"/>
  <c r="AB39" i="1"/>
  <c r="AA39" i="1"/>
  <c r="Z39" i="1"/>
  <c r="Y39" i="1"/>
  <c r="X39" i="1"/>
  <c r="W39" i="1"/>
  <c r="V39" i="1"/>
  <c r="U39" i="1"/>
  <c r="T39" i="1"/>
  <c r="S39" i="1"/>
  <c r="R39" i="1"/>
  <c r="Q39" i="1"/>
  <c r="P39" i="1"/>
  <c r="AC38" i="1"/>
  <c r="AB38" i="1"/>
  <c r="AA38" i="1"/>
  <c r="Z38" i="1"/>
  <c r="Y38" i="1"/>
  <c r="X38" i="1"/>
  <c r="W38" i="1"/>
  <c r="V38" i="1"/>
  <c r="U38" i="1"/>
  <c r="T38" i="1"/>
  <c r="S38" i="1"/>
  <c r="R38" i="1"/>
  <c r="Q38" i="1"/>
  <c r="P38" i="1"/>
  <c r="AC37" i="1"/>
  <c r="AB37" i="1"/>
  <c r="AA37" i="1"/>
  <c r="Z37" i="1"/>
  <c r="Y37" i="1"/>
  <c r="X37" i="1"/>
  <c r="W37" i="1"/>
  <c r="V37" i="1"/>
  <c r="U37" i="1"/>
  <c r="T37" i="1"/>
  <c r="S37" i="1"/>
  <c r="R37" i="1"/>
  <c r="Q37" i="1"/>
  <c r="P37" i="1"/>
  <c r="AC36" i="1"/>
  <c r="AB36" i="1"/>
  <c r="AA36" i="1"/>
  <c r="Z36" i="1"/>
  <c r="Y36" i="1"/>
  <c r="X36" i="1"/>
  <c r="W36" i="1"/>
  <c r="V36" i="1"/>
  <c r="U36" i="1"/>
  <c r="T36" i="1"/>
  <c r="S36" i="1"/>
  <c r="R36" i="1"/>
  <c r="Q36" i="1"/>
  <c r="P36" i="1"/>
  <c r="AC35" i="1"/>
  <c r="AB35" i="1"/>
  <c r="AA35" i="1"/>
  <c r="Z35" i="1"/>
  <c r="Y35" i="1"/>
  <c r="X35" i="1"/>
  <c r="W35" i="1"/>
  <c r="V35" i="1"/>
  <c r="U35" i="1"/>
  <c r="T35" i="1"/>
  <c r="S35" i="1"/>
  <c r="R35" i="1"/>
  <c r="Q35" i="1"/>
  <c r="P35" i="1"/>
  <c r="AC34" i="1"/>
  <c r="AB34" i="1"/>
  <c r="AA34" i="1"/>
  <c r="Z34" i="1"/>
  <c r="Y34" i="1"/>
  <c r="X34" i="1"/>
  <c r="W34" i="1"/>
  <c r="V34" i="1"/>
  <c r="U34" i="1"/>
  <c r="T34" i="1"/>
  <c r="S34" i="1"/>
  <c r="R34" i="1"/>
  <c r="Q34" i="1"/>
  <c r="P34" i="1"/>
  <c r="AC33" i="1"/>
  <c r="AB33" i="1"/>
  <c r="AA33" i="1"/>
  <c r="Z33" i="1"/>
  <c r="Y33" i="1"/>
  <c r="X33" i="1"/>
  <c r="W33" i="1"/>
  <c r="V33" i="1"/>
  <c r="U33" i="1"/>
  <c r="T33" i="1"/>
  <c r="S33" i="1"/>
  <c r="R33" i="1"/>
  <c r="Q33" i="1"/>
  <c r="P33" i="1"/>
  <c r="AC32" i="1"/>
  <c r="AB32" i="1"/>
  <c r="AA32" i="1"/>
  <c r="Z32" i="1"/>
  <c r="Y32" i="1"/>
  <c r="X32" i="1"/>
  <c r="W32" i="1"/>
  <c r="V32" i="1"/>
  <c r="U32" i="1"/>
  <c r="T32" i="1"/>
  <c r="S32" i="1"/>
  <c r="R32" i="1"/>
  <c r="Q32" i="1"/>
  <c r="P32" i="1"/>
  <c r="AC31" i="1"/>
  <c r="AB31" i="1"/>
  <c r="AA31" i="1"/>
  <c r="Z31" i="1"/>
  <c r="Y31" i="1"/>
  <c r="X31" i="1"/>
  <c r="W31" i="1"/>
  <c r="V31" i="1"/>
  <c r="U31" i="1"/>
  <c r="T31" i="1"/>
  <c r="S31" i="1"/>
  <c r="R31" i="1"/>
  <c r="Q31" i="1"/>
  <c r="P31" i="1"/>
  <c r="AC30" i="1"/>
  <c r="AB30" i="1"/>
  <c r="AA30" i="1"/>
  <c r="Z30" i="1"/>
  <c r="Y30" i="1"/>
  <c r="X30" i="1"/>
  <c r="W30" i="1"/>
  <c r="V30" i="1"/>
  <c r="U30" i="1"/>
  <c r="T30" i="1"/>
  <c r="S30" i="1"/>
  <c r="R30" i="1"/>
  <c r="Q30" i="1"/>
  <c r="P30" i="1"/>
  <c r="AC29" i="1"/>
  <c r="AB29" i="1"/>
  <c r="AA29" i="1"/>
  <c r="Z29" i="1"/>
  <c r="Y29" i="1"/>
  <c r="X29" i="1"/>
  <c r="W29" i="1"/>
  <c r="V29" i="1"/>
  <c r="U29" i="1"/>
  <c r="T29" i="1"/>
  <c r="S29" i="1"/>
  <c r="R29" i="1"/>
  <c r="Q29" i="1"/>
  <c r="P29" i="1"/>
  <c r="AC28" i="1"/>
  <c r="AB28" i="1"/>
  <c r="AA28" i="1"/>
  <c r="Z28" i="1"/>
  <c r="Y28" i="1"/>
  <c r="X28" i="1"/>
  <c r="W28" i="1"/>
  <c r="V28" i="1"/>
  <c r="U28" i="1"/>
  <c r="T28" i="1"/>
  <c r="S28" i="1"/>
  <c r="R28" i="1"/>
  <c r="Q28" i="1"/>
  <c r="P28" i="1"/>
  <c r="AC27" i="1"/>
  <c r="AB27" i="1"/>
  <c r="AA27" i="1"/>
  <c r="Z27" i="1"/>
  <c r="Y27" i="1"/>
  <c r="X27" i="1"/>
  <c r="W27" i="1"/>
  <c r="V27" i="1"/>
  <c r="U27" i="1"/>
  <c r="T27" i="1"/>
  <c r="S27" i="1"/>
  <c r="R27" i="1"/>
  <c r="Q27" i="1"/>
  <c r="P27" i="1"/>
  <c r="AC26" i="1"/>
  <c r="AB26" i="1"/>
  <c r="AA26" i="1"/>
  <c r="Z26" i="1"/>
  <c r="Y26" i="1"/>
  <c r="X26" i="1"/>
  <c r="W26" i="1"/>
  <c r="V26" i="1"/>
  <c r="U26" i="1"/>
  <c r="T26" i="1"/>
  <c r="S26" i="1"/>
  <c r="R26" i="1"/>
  <c r="Q26" i="1"/>
  <c r="P26" i="1"/>
  <c r="AC25" i="1"/>
  <c r="AB25" i="1"/>
  <c r="AA25" i="1"/>
  <c r="Z25" i="1"/>
  <c r="Y25" i="1"/>
  <c r="X25" i="1"/>
  <c r="W25" i="1"/>
  <c r="V25" i="1"/>
  <c r="U25" i="1"/>
  <c r="T25" i="1"/>
  <c r="S25" i="1"/>
  <c r="R25" i="1"/>
  <c r="Q25" i="1"/>
  <c r="P25" i="1"/>
  <c r="AC24" i="1"/>
  <c r="AB24" i="1"/>
  <c r="AA24" i="1"/>
  <c r="Z24" i="1"/>
  <c r="Y24" i="1"/>
  <c r="X24" i="1"/>
  <c r="W24" i="1"/>
  <c r="V24" i="1"/>
  <c r="U24" i="1"/>
  <c r="T24" i="1"/>
  <c r="S24" i="1"/>
  <c r="R24" i="1"/>
  <c r="Q24" i="1"/>
  <c r="P24" i="1"/>
  <c r="AC23" i="1"/>
  <c r="AB23" i="1"/>
  <c r="AA23" i="1"/>
  <c r="Z23" i="1"/>
  <c r="Y23" i="1"/>
  <c r="X23" i="1"/>
  <c r="W23" i="1"/>
  <c r="V23" i="1"/>
  <c r="U23" i="1"/>
  <c r="T23" i="1"/>
  <c r="S23" i="1"/>
  <c r="R23" i="1"/>
  <c r="Q23" i="1"/>
  <c r="P23" i="1"/>
  <c r="AC22" i="1"/>
  <c r="AB22" i="1"/>
  <c r="AA22" i="1"/>
  <c r="Z22" i="1"/>
  <c r="Y22" i="1"/>
  <c r="X22" i="1"/>
  <c r="W22" i="1"/>
  <c r="V22" i="1"/>
  <c r="U22" i="1"/>
  <c r="T22" i="1"/>
  <c r="S22" i="1"/>
  <c r="R22" i="1"/>
  <c r="Q22" i="1"/>
  <c r="P22" i="1"/>
  <c r="AC21" i="1"/>
  <c r="AB21" i="1"/>
  <c r="AA21" i="1"/>
  <c r="Z21" i="1"/>
  <c r="Y21" i="1"/>
  <c r="X21" i="1"/>
  <c r="W21" i="1"/>
  <c r="V21" i="1"/>
  <c r="U21" i="1"/>
  <c r="T21" i="1"/>
  <c r="S21" i="1"/>
  <c r="R21" i="1"/>
  <c r="Q21" i="1"/>
  <c r="P21" i="1"/>
  <c r="AC20" i="1"/>
  <c r="AB20" i="1"/>
  <c r="AA20" i="1"/>
  <c r="Z20" i="1"/>
  <c r="Y20" i="1"/>
  <c r="X20" i="1"/>
  <c r="W20" i="1"/>
  <c r="V20" i="1"/>
  <c r="U20" i="1"/>
  <c r="T20" i="1"/>
  <c r="S20" i="1"/>
  <c r="R20" i="1"/>
  <c r="Q20" i="1"/>
  <c r="P20" i="1"/>
  <c r="AC19" i="1"/>
  <c r="AB19" i="1"/>
  <c r="AA19" i="1"/>
  <c r="Z19" i="1"/>
  <c r="Y19" i="1"/>
  <c r="X19" i="1"/>
  <c r="W19" i="1"/>
  <c r="V19" i="1"/>
  <c r="U19" i="1"/>
  <c r="T19" i="1"/>
  <c r="S19" i="1"/>
  <c r="R19" i="1"/>
  <c r="Q19" i="1"/>
  <c r="P19" i="1"/>
  <c r="AC18" i="1"/>
  <c r="AB18" i="1"/>
  <c r="AA18" i="1"/>
  <c r="Z18" i="1"/>
  <c r="Y18" i="1"/>
  <c r="X18" i="1"/>
  <c r="W18" i="1"/>
  <c r="V18" i="1"/>
  <c r="U18" i="1"/>
  <c r="T18" i="1"/>
  <c r="S18" i="1"/>
  <c r="R18" i="1"/>
  <c r="Q18" i="1"/>
  <c r="P18" i="1"/>
  <c r="AC17" i="1"/>
  <c r="AB17" i="1"/>
  <c r="AA17" i="1"/>
  <c r="Z17" i="1"/>
  <c r="Y17" i="1"/>
  <c r="X17" i="1"/>
  <c r="W17" i="1"/>
  <c r="V17" i="1"/>
  <c r="U17" i="1"/>
  <c r="T17" i="1"/>
  <c r="S17" i="1"/>
  <c r="R17" i="1"/>
  <c r="Q17" i="1"/>
  <c r="P17" i="1"/>
  <c r="AC16" i="1"/>
  <c r="AB16" i="1"/>
  <c r="AA16" i="1"/>
  <c r="Z16" i="1"/>
  <c r="Y16" i="1"/>
  <c r="X16" i="1"/>
  <c r="W16" i="1"/>
  <c r="V16" i="1"/>
  <c r="U16" i="1"/>
  <c r="T16" i="1"/>
  <c r="S16" i="1"/>
  <c r="R16" i="1"/>
  <c r="Q16" i="1"/>
  <c r="P16" i="1"/>
  <c r="AC15" i="1"/>
  <c r="AB15" i="1"/>
  <c r="AA15" i="1"/>
  <c r="Z15" i="1"/>
  <c r="Y15" i="1"/>
  <c r="X15" i="1"/>
  <c r="W15" i="1"/>
  <c r="V15" i="1"/>
  <c r="U15" i="1"/>
  <c r="T15" i="1"/>
  <c r="S15" i="1"/>
  <c r="R15" i="1"/>
  <c r="Q15" i="1"/>
  <c r="P15" i="1"/>
  <c r="AC14" i="1"/>
  <c r="AB14" i="1"/>
  <c r="AA14" i="1"/>
  <c r="Z14" i="1"/>
  <c r="Y14" i="1"/>
  <c r="X14" i="1"/>
  <c r="W14" i="1"/>
  <c r="V14" i="1"/>
  <c r="U14" i="1"/>
  <c r="T14" i="1"/>
  <c r="S14" i="1"/>
  <c r="R14" i="1"/>
  <c r="Q14" i="1"/>
  <c r="P14" i="1"/>
  <c r="AC13" i="1"/>
  <c r="AB13" i="1"/>
  <c r="AA13" i="1"/>
  <c r="Z13" i="1"/>
  <c r="Y13" i="1"/>
  <c r="X13" i="1"/>
  <c r="W13" i="1"/>
  <c r="V13" i="1"/>
  <c r="U13" i="1"/>
  <c r="T13" i="1"/>
  <c r="S13" i="1"/>
  <c r="R13" i="1"/>
  <c r="Q13" i="1"/>
  <c r="P13" i="1"/>
  <c r="AC12" i="1"/>
  <c r="AB12" i="1"/>
  <c r="AA12" i="1"/>
  <c r="Z12" i="1"/>
  <c r="Y12" i="1"/>
  <c r="X12" i="1"/>
  <c r="W12" i="1"/>
  <c r="V12" i="1"/>
  <c r="U12" i="1"/>
  <c r="T12" i="1"/>
  <c r="S12" i="1"/>
  <c r="R12" i="1"/>
  <c r="Q12" i="1"/>
  <c r="P12" i="1"/>
  <c r="AC11" i="1"/>
  <c r="AB11" i="1"/>
  <c r="AA11" i="1"/>
  <c r="Z11" i="1"/>
  <c r="Y11" i="1"/>
  <c r="X11" i="1"/>
  <c r="W11" i="1"/>
  <c r="V11" i="1"/>
  <c r="U11" i="1"/>
  <c r="T11" i="1"/>
  <c r="S11" i="1"/>
  <c r="R11" i="1"/>
  <c r="Q11" i="1"/>
  <c r="P11" i="1"/>
  <c r="AC10" i="1"/>
  <c r="AB10" i="1"/>
  <c r="AA10" i="1"/>
  <c r="Z10" i="1"/>
  <c r="Y10" i="1"/>
  <c r="X10" i="1"/>
  <c r="W10" i="1"/>
  <c r="V10" i="1"/>
  <c r="U10" i="1"/>
  <c r="T10" i="1"/>
  <c r="S10" i="1"/>
  <c r="R10" i="1"/>
  <c r="Q10" i="1"/>
  <c r="P10" i="1"/>
  <c r="AC9" i="1"/>
  <c r="AB9" i="1"/>
  <c r="AA9" i="1"/>
  <c r="Z9" i="1"/>
  <c r="Y9" i="1"/>
  <c r="X9" i="1"/>
  <c r="W9" i="1"/>
  <c r="V9" i="1"/>
  <c r="U9" i="1"/>
  <c r="T9" i="1"/>
  <c r="S9" i="1"/>
  <c r="R9" i="1"/>
  <c r="Q9" i="1"/>
  <c r="P9" i="1"/>
  <c r="AC8" i="1"/>
  <c r="AB8" i="1"/>
  <c r="AA8" i="1"/>
  <c r="Z8" i="1"/>
  <c r="Y8" i="1"/>
  <c r="X8" i="1"/>
  <c r="W8" i="1"/>
  <c r="V8" i="1"/>
  <c r="U8" i="1"/>
  <c r="T8" i="1"/>
  <c r="S8" i="1"/>
  <c r="R8" i="1"/>
  <c r="Q8" i="1"/>
  <c r="P8" i="1"/>
  <c r="AC7" i="1"/>
  <c r="AB7" i="1"/>
  <c r="AA7" i="1"/>
  <c r="Z7" i="1"/>
  <c r="Y7" i="1"/>
  <c r="X7" i="1"/>
  <c r="W7" i="1"/>
  <c r="V7" i="1"/>
  <c r="U7" i="1"/>
  <c r="T7" i="1"/>
  <c r="S7" i="1"/>
  <c r="R7" i="1"/>
  <c r="Q7" i="1"/>
  <c r="P7" i="1"/>
  <c r="AC6" i="1"/>
  <c r="AB6" i="1"/>
  <c r="AA6" i="1"/>
  <c r="Z6" i="1"/>
  <c r="Y6" i="1"/>
  <c r="X6" i="1"/>
  <c r="W6" i="1"/>
  <c r="V6" i="1"/>
  <c r="U6" i="1"/>
  <c r="T6" i="1"/>
  <c r="S6" i="1"/>
  <c r="R6" i="1"/>
  <c r="Q6" i="1"/>
  <c r="P6" i="1"/>
  <c r="AC5" i="1"/>
  <c r="AB5" i="1"/>
  <c r="AA5" i="1"/>
  <c r="Z5" i="1"/>
  <c r="Y5" i="1"/>
  <c r="X5" i="1"/>
  <c r="W5" i="1"/>
  <c r="V5" i="1"/>
  <c r="U5" i="1"/>
  <c r="T5" i="1"/>
  <c r="S5" i="1"/>
  <c r="R5" i="1"/>
  <c r="Q5" i="1"/>
  <c r="P5" i="1"/>
  <c r="AC4" i="1"/>
  <c r="AB4" i="1"/>
  <c r="AA4" i="1"/>
  <c r="Z4" i="1"/>
  <c r="Y4" i="1"/>
  <c r="X4" i="1"/>
  <c r="W4" i="1"/>
  <c r="V4" i="1"/>
  <c r="U4" i="1"/>
  <c r="T4" i="1"/>
  <c r="S4" i="1"/>
  <c r="R4" i="1"/>
  <c r="Q4" i="1"/>
  <c r="P4" i="1"/>
  <c r="AC3" i="1"/>
  <c r="AB3" i="1"/>
  <c r="AA3" i="1"/>
  <c r="Z3" i="1"/>
  <c r="Y3" i="1"/>
  <c r="X3" i="1"/>
  <c r="W3" i="1"/>
  <c r="V3" i="1"/>
  <c r="U3" i="1"/>
  <c r="T3" i="1"/>
  <c r="S3" i="1"/>
  <c r="R3" i="1"/>
  <c r="Q3" i="1"/>
  <c r="P3" i="1" a="1"/>
  <c r="P3" i="1"/>
  <c r="F4" i="2"/>
  <c r="F2" i="2"/>
  <c r="F3"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<sst xmlns="http://schemas.openxmlformats.org/spreadsheetml/2006/main" count="2739" uniqueCount="482">
  <si>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</si>
  <si>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</si>
  <si>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</si>
  <si>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</si>
  <si>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</si>
  <si>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</si>
  <si>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</si>
  <si>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</si>
  <si>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</si>
  <si>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</si>
  <si>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</si>
  <si>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</si>
  <si>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</si>
  <si>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</si>
  <si>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Column1</t>
  </si>
  <si>
    <t>Filter Data according Region</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</si>
  <si>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</si>
  <si>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</si>
  <si>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</si>
  <si>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</si>
  <si>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</si>
  <si>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</si>
  <si>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</si>
  <si>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</si>
  <si>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</si>
  <si>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</si>
  <si>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</si>
  <si>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</si>
  <si>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</si>
  <si>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</si>
  <si>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</si>
  <si>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</si>
  <si>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</si>
  <si>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</si>
  <si>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</si>
  <si>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</si>
  <si>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</si>
  <si>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</si>
  <si>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</si>
  <si>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</si>
  <si>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</si>
  <si>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</si>
  <si>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</si>
  <si>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</si>
  <si>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</si>
  <si>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</si>
  <si>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</si>
  <si>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</si>
  <si>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</si>
  <si>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</si>
  <si>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</si>
  <si>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</si>
  <si>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</si>
  <si>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</si>
  <si>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</si>
  <si>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</si>
  <si>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</si>
  <si>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</si>
  <si>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</si>
  <si>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</si>
  <si>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</si>
  <si>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</si>
  <si>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</si>
  <si>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</si>
  <si>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</si>
  <si>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</si>
  <si>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</si>
  <si>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</si>
  <si>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</si>
  <si>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</si>
  <si>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</si>
  <si>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</si>
  <si>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</si>
  <si>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</si>
  <si>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</si>
  <si>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</si>
  <si>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</si>
  <si>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</si>
  <si>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</si>
  <si>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</si>
  <si>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</si>
  <si>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</si>
  <si>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</si>
  <si>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</si>
  <si>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</si>
  <si>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</si>
  <si>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</si>
  <si>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</si>
  <si>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</si>
  <si>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</si>
  <si>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</si>
  <si>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</si>
  <si>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</si>
  <si>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</si>
  <si>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</si>
  <si>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</si>
  <si>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</si>
  <si>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</si>
  <si>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</si>
  <si>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</si>
  <si>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</si>
  <si>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</si>
  <si>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</si>
  <si>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</si>
  <si>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</si>
  <si>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</si>
  <si>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</si>
  <si>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</si>
  <si>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</si>
  <si>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</si>
  <si>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</si>
  <si>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</si>
  <si>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</si>
  <si>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</si>
  <si>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</si>
  <si>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</si>
  <si>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</si>
  <si>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</si>
  <si>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</si>
  <si>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</si>
  <si>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</si>
  <si>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</si>
  <si>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</si>
  <si>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</si>
  <si>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</si>
  <si>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</si>
  <si>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</si>
  <si>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</si>
  <si>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</si>
  <si>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</si>
  <si>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</si>
  <si>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</si>
  <si>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</si>
  <si>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</si>
  <si>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</si>
  <si>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</si>
  <si>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</si>
  <si>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</si>
  <si>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</si>
  <si>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</si>
  <si>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</si>
  <si>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</si>
  <si>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</si>
  <si>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</si>
  <si>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</si>
  <si>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</si>
  <si>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</si>
  <si>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</si>
  <si>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</si>
  <si>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</si>
  <si>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</si>
  <si>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</si>
  <si>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</si>
  <si>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</si>
  <si>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</si>
  <si>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</si>
  <si>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</si>
  <si>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</si>
  <si>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</si>
  <si>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</si>
  <si>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</si>
  <si>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</si>
  <si>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</si>
  <si>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</si>
  <si>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</si>
  <si>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</si>
  <si>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</si>
  <si>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</si>
  <si>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</si>
  <si>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</si>
  <si>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</si>
  <si>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</si>
  <si>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</si>
  <si>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</si>
  <si>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</si>
  <si>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</si>
  <si>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</si>
  <si>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</si>
  <si>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</si>
  <si>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</si>
  <si>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</si>
  <si>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</si>
  <si>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</si>
  <si>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</si>
  <si>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</si>
  <si>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</si>
  <si>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</si>
  <si>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</si>
  <si>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</si>
  <si>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</si>
  <si>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</si>
  <si>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</si>
  <si>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</si>
  <si>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</si>
  <si>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</si>
  <si>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</si>
  <si>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</si>
  <si>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</si>
  <si>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</si>
  <si>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</si>
  <si>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</si>
  <si>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</si>
  <si>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</si>
  <si>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</si>
  <si>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</si>
  <si>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</si>
  <si>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</si>
  <si>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</si>
  <si>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</si>
  <si>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</si>
  <si>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</si>
  <si>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</si>
  <si>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</si>
  <si>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</si>
  <si>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</si>
  <si>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</si>
  <si>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</si>
  <si>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</si>
  <si>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</si>
  <si>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</si>
  <si>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</si>
  <si>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</si>
  <si>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</si>
  <si>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</si>
  <si>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</si>
  <si>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</si>
  <si>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</si>
  <si>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</si>
  <si>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</si>
  <si>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</si>
  <si>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</si>
  <si>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</si>
  <si>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</si>
  <si>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</si>
  <si>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</si>
  <si>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</si>
  <si>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</si>
  <si>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</si>
  <si>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</si>
  <si>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</si>
  <si>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</si>
  <si>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</si>
  <si>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</si>
  <si>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</si>
  <si>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</si>
  <si>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</si>
  <si>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</si>
  <si>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</si>
  <si>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</si>
  <si>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</si>
  <si>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</si>
  <si>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</si>
  <si>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</si>
  <si>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</si>
  <si>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</si>
  <si>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</si>
  <si>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</si>
  <si>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</si>
  <si>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</si>
  <si>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</si>
  <si>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</si>
  <si>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</si>
  <si>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</si>
  <si>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</si>
  <si>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</si>
  <si>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</si>
  <si>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</si>
  <si>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</si>
  <si>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</si>
  <si>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</si>
  <si>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</si>
  <si>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</si>
  <si>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</si>
  <si>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</si>
  <si>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</si>
  <si>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</si>
  <si>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</si>
  <si>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</si>
  <si>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</si>
  <si>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</si>
  <si>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</si>
  <si>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</si>
  <si>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</si>
  <si>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</si>
  <si>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</si>
  <si>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</si>
  <si>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</si>
  <si>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</si>
  <si>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</si>
  <si>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</si>
  <si>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</si>
  <si>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</si>
  <si>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</si>
  <si>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</si>
  <si>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</si>
  <si>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</si>
  <si>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</si>
  <si>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</si>
  <si>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</si>
  <si>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</si>
  <si>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</si>
  <si>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</si>
  <si>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</si>
  <si>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</si>
  <si>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</si>
  <si>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</si>
  <si>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</si>
  <si>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</si>
  <si>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</si>
  <si>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</si>
  <si>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</si>
  <si>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</si>
  <si>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</si>
  <si>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</si>
  <si>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</si>
  <si>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</si>
  <si>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</si>
  <si>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</si>
  <si>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</si>
  <si>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</si>
  <si>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</si>
  <si>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</si>
  <si>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</si>
  <si>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</si>
  <si>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</si>
  <si>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</si>
  <si>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</si>
  <si>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</si>
  <si>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</si>
  <si>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</si>
  <si>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</si>
  <si>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</si>
  <si>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</si>
  <si>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</si>
  <si>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</si>
  <si>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</si>
  <si>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</si>
  <si>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</si>
  <si>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</si>
  <si>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</si>
  <si>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</si>
  <si>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</si>
  <si>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</si>
  <si>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</si>
  <si>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</si>
  <si>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</si>
  <si>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</si>
  <si>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</si>
  <si>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</si>
  <si>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</si>
  <si>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</si>
  <si>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</si>
  <si>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</si>
  <si>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</si>
  <si>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</si>
  <si>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</si>
  <si>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</si>
  <si>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</si>
  <si>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</si>
  <si>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</si>
  <si>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</si>
  <si>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</si>
  <si>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</si>
  <si>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</si>
  <si>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</si>
  <si>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</si>
  <si>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</si>
  <si>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</si>
  <si>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</si>
  <si>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</si>
  <si>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</si>
  <si>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</si>
  <si>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</si>
  <si>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</si>
  <si>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</si>
  <si>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</si>
  <si>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</si>
  <si>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</si>
  <si>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</si>
  <si>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</si>
  <si>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</si>
  <si>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</si>
  <si>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</si>
  <si>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</si>
  <si>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</si>
  <si>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</si>
  <si>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</si>
  <si>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</si>
  <si>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</si>
  <si>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</si>
  <si>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</si>
  <si>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</si>
  <si>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</si>
  <si>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</si>
  <si>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</si>
  <si>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</si>
  <si>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</si>
  <si>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</si>
  <si>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</si>
  <si>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</si>
  <si>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</si>
  <si>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t>
  </si>
  <si>
    <t>Now</t>
  </si>
  <si>
    <t>DOB</t>
  </si>
  <si>
    <t>DateDif</t>
  </si>
  <si>
    <t>EOMONTH</t>
  </si>
  <si>
    <t>Timestamp</t>
  </si>
  <si>
    <t>Scenario Summary</t>
  </si>
  <si>
    <t>Current Values:</t>
  </si>
  <si>
    <t>medium</t>
  </si>
  <si>
    <t>high</t>
  </si>
  <si>
    <t>low</t>
  </si>
  <si>
    <t>Created by DELL on 4/10/2026</t>
  </si>
  <si>
    <t>Changing Cells:</t>
  </si>
  <si>
    <t>$N$23</t>
  </si>
  <si>
    <t>$N$22</t>
  </si>
  <si>
    <t>$N$24</t>
  </si>
  <si>
    <t>Result Cells:</t>
  </si>
  <si>
    <t>$AE$3</t>
  </si>
  <si>
    <t>Notes:  Current Values column represents values of changing cells at</t>
  </si>
  <si>
    <t>time Scenario Summary Report was created.  Changing cells for each</t>
  </si>
  <si>
    <t>scenario are highlighted in gray.</t>
  </si>
  <si>
    <t>Total goal seek</t>
  </si>
  <si>
    <t>SUMMARY OUTPUT</t>
  </si>
  <si>
    <t>Y = mX + c</t>
  </si>
  <si>
    <t>Calculation for Slope &amp; Intercept</t>
  </si>
  <si>
    <t>Regression Statistics</t>
  </si>
  <si>
    <t>Mean (of X)</t>
  </si>
  <si>
    <t>Mean (of Y)</t>
  </si>
  <si>
    <t>Deviations (of X)</t>
  </si>
  <si>
    <t>Deviations (of Y)</t>
  </si>
  <si>
    <t>Product of Deviations</t>
  </si>
  <si>
    <t>Sum of Product of Deviations</t>
  </si>
  <si>
    <t>Square of Deviations (of X)</t>
  </si>
  <si>
    <t>Sum of Square of Deviations (of X)</t>
  </si>
  <si>
    <t>Multiple R</t>
  </si>
  <si>
    <t>R Square</t>
  </si>
  <si>
    <t>Adjusted R Square</t>
  </si>
  <si>
    <t>Standard Error</t>
  </si>
  <si>
    <t>Observations</t>
  </si>
  <si>
    <r>
      <rPr>
        <b/>
        <sz val="11"/>
        <color theme="1"/>
        <rFont val="Arial"/>
        <charset val="134"/>
      </rPr>
      <t xml:space="preserve">Slope (m) </t>
    </r>
    <r>
      <rPr>
        <sz val="11"/>
        <color theme="1"/>
        <rFont val="Arial"/>
        <charset val="134"/>
      </rPr>
      <t>= Sum of Product of Deviations / Sum of Square of deviation for X</t>
    </r>
  </si>
  <si>
    <t>ANOVA</t>
  </si>
  <si>
    <r>
      <rPr>
        <b/>
        <sz val="11"/>
        <color theme="1"/>
        <rFont val="Arial"/>
        <charset val="134"/>
      </rPr>
      <t xml:space="preserve">Intercept (c) </t>
    </r>
    <r>
      <rPr>
        <sz val="11"/>
        <color theme="1"/>
        <rFont val="Arial"/>
        <charset val="134"/>
      </rPr>
      <t>= Mean of Y - (m * Mean of X)</t>
    </r>
  </si>
  <si>
    <t>df</t>
  </si>
  <si>
    <t>SS</t>
  </si>
  <si>
    <t>MS</t>
  </si>
  <si>
    <t>F</t>
  </si>
  <si>
    <t>Significance F</t>
  </si>
  <si>
    <t>Regression</t>
  </si>
  <si>
    <t>Slope (m) =</t>
  </si>
  <si>
    <t>Residual</t>
  </si>
  <si>
    <t>Intercept (c) =</t>
  </si>
  <si>
    <t>Total</t>
  </si>
  <si>
    <t>Coefficients</t>
  </si>
  <si>
    <t>t Stat</t>
  </si>
  <si>
    <t>P-value</t>
  </si>
  <si>
    <t>Lower 95%</t>
  </si>
  <si>
    <t>Upper 95%</t>
  </si>
  <si>
    <t>Lower 95.0%</t>
  </si>
  <si>
    <t>Upper 95.0%</t>
  </si>
  <si>
    <t>Intercept</t>
  </si>
  <si>
    <t>Sum of Total_Amount</t>
  </si>
  <si>
    <t>Value</t>
  </si>
  <si>
    <t>Month</t>
  </si>
  <si>
    <t>Row Labels</t>
  </si>
  <si>
    <t>Sum of Quantity</t>
  </si>
  <si>
    <t>Jan</t>
  </si>
  <si>
    <t>Feb</t>
  </si>
  <si>
    <t>Mar</t>
  </si>
  <si>
    <t>Apr</t>
  </si>
  <si>
    <t>May</t>
  </si>
  <si>
    <t>Jun</t>
  </si>
  <si>
    <t>Jul</t>
  </si>
  <si>
    <t>Aug</t>
  </si>
  <si>
    <t>Sep</t>
  </si>
  <si>
    <t>Oct</t>
  </si>
  <si>
    <t>Nov</t>
  </si>
  <si>
    <t>Dec</t>
  </si>
  <si>
    <t>Total Revenue</t>
  </si>
  <si>
    <t>Transactions</t>
  </si>
  <si>
    <t>Customers</t>
  </si>
  <si>
    <t>Avg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</si>
</sst>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20">
    <font>
      <sz val="11"/>
      <color theme="1"/>
      <name val="Calibri"/>
      <charset val="134"/>
      <scheme val="minor"/>
    </font>
    <font>
      <b/>
      <sz val="10"/>
      <color rgb="FFFFFFFF"/>
      <name val="Arial"/>
      <charset val="1"/>
    </font>
    <font>
      <b/>
      <sz val="20"/>
      <color rgb="FFED7D31"/>
      <name val="Arial"/>
      <charset val="1"/>
    </font>
    <font>
      <b/>
      <sz val="10"/>
      <color theme="0"/>
      <name val="Arial"/>
      <charset val="134"/>
    </font>
    <font>
      <b/>
      <sz val="20"/>
      <color theme="5" tint="-0.499984740745262"/>
      <name val="Arial"/>
      <charset val="134"/>
    </font>
    <font>
      <b/>
      <sz val="11"/>
      <color theme="0"/>
      <name val="Calibri"/>
      <charset val="134"/>
      <scheme val="minor"/>
    </font>
    <font>
      <sz val="11"/>
      <color theme="1"/>
      <name val="Calibri"/>
      <charset val="134"/>
      <scheme val="minor"/>
    </font>
    <font>
      <i/>
      <sz val="11"/>
      <color theme="1"/>
      <name val="Calibri"/>
      <charset val="134"/>
      <scheme val="minor"/>
    </font>
    <font>
      <b/>
      <sz val="11"/>
      <color theme="1"/>
      <name val="Aptos Narrow"/>
      <charset val="134"/>
    </font>
    <font>
      <b/>
      <sz val="11"/>
      <color theme="1"/>
      <name val="Arial"/>
      <charset val="134"/>
    </font>
    <font>
      <b/>
      <sz val="11"/>
      <color rgb="FFFF0000"/>
      <name val="Calibri"/>
      <charset val="134"/>
      <scheme val="minor"/>
    </font>
    <font>
      <sz val="11"/>
      <color rgb="FFFF0000"/>
      <name val="Calibri"/>
      <charset val="134"/>
      <scheme val="minor"/>
    </font>
    <font>
      <b/>
      <sz val="12"/>
      <color indexed="9"/>
      <name val="Calibri"/>
      <charset val="134"/>
      <scheme val="minor"/>
    </font>
    <font>
      <sz val="10"/>
      <color indexed="9"/>
      <name val="Calibri"/>
      <charset val="134"/>
      <scheme val="minor"/>
    </font>
    <font>
      <b/>
      <sz val="11"/>
      <color indexed="8"/>
      <name val="Calibri"/>
      <charset val="134"/>
      <scheme val="minor"/>
    </font>
    <font>
      <sz val="8"/>
      <color theme="1"/>
      <name val="Calibri"/>
      <charset val="134"/>
      <scheme val="minor"/>
    </font>
    <font>
      <b/>
      <sz val="11"/>
      <color indexed="18"/>
      <name val="Calibri"/>
      <charset val="134"/>
      <scheme val="minor"/>
    </font>
    <font>
      <b/>
      <sz val="11"/>
      <color theme="1"/>
      <name val="Calibri"/>
      <charset val="134"/>
      <scheme val="minor"/>
    </font>
    <font>
      <sz val="11"/>
      <color theme="0"/>
      <name val="Calibri"/>
      <charset val="134"/>
      <scheme val="minor"/>
    </font>
    <font>
      <sz val="11"/>
      <color theme="1"/>
      <name val="Arial"/>
      <charset val="134"/>
    </font>
  </fonts>
  <fills count="19">
    <fill>
      <patternFill patternType="none"/>
    </fill>
    <fill>
      <patternFill patternType="gray125"/>
    </fill>
    <fill>
      <patternFill patternType="solid">
        <fgColor theme="3" tint="-0.249977111117893"/>
        <bgColor indexed="64"/>
      </patternFill>
    </fill>
    <fill>
      <patternFill patternType="solid">
        <fgColor rgb="FFED7D31"/>
        <bgColor rgb="FFFF8080"/>
      </patternFill>
    </fill>
    <fill>
      <patternFill patternType="solid">
        <fgColor rgb="FFFCE4D6"/>
        <bgColor rgb="FFFFE7E7"/>
      </patternFill>
    </fill>
    <fill>
      <patternFill patternType="solid">
        <fgColor theme="5" tint="-0.249977111117893"/>
        <bgColor rgb="FFFF8080"/>
      </patternFill>
    </fill>
    <fill>
      <patternFill patternType="solid">
        <fgColor theme="5" tint="0.39994506668294322"/>
        <bgColor rgb="FFFFE7E7"/>
      </patternFill>
    </fill>
    <fill>
      <patternFill patternType="solid">
        <fgColor theme="4"/>
        <bgColor theme="4"/>
      </patternFill>
    </fill>
    <fill>
      <patternFill patternType="solid">
        <fgColor theme="4" tint="0.79995117038483843"/>
        <bgColor theme="4" tint="0.79995117038483843"/>
      </patternFill>
    </fill>
    <fill>
      <patternFill patternType="solid">
        <fgColor theme="0"/>
        <bgColor theme="4" tint="0.79995117038483843"/>
      </patternFill>
    </fill>
    <fill>
      <patternFill patternType="solid">
        <fgColor theme="0"/>
        <bgColor indexed="64"/>
      </patternFill>
    </fill>
    <fill>
      <patternFill patternType="solid">
        <fgColor rgb="FFC0E6F5"/>
        <bgColor indexed="64"/>
      </patternFill>
    </fill>
    <fill>
      <patternFill patternType="solid">
        <fgColor rgb="FFF2F2F2"/>
        <bgColor indexed="64"/>
      </patternFill>
    </fill>
    <fill>
      <patternFill patternType="solid">
        <fgColor theme="4"/>
        <bgColor indexed="64"/>
      </patternFill>
    </fill>
    <fill>
      <patternFill patternType="solid">
        <fgColor rgb="FFFF00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39994506668294322"/>
        <bgColor indexed="64"/>
      </patternFill>
    </fill>
  </fills>
  <borders count="34">
    <border>
      <left/>
      <right/>
      <top/>
      <bottom/>
      <diagonal/>
    </border>
    <border>
      <left style="medium">
        <color rgb="FFCCCCCC"/>
      </left>
      <right style="medium">
        <color rgb="FFCCCCCC"/>
      </right>
      <top style="thin">
        <color theme="4" tint="0.39994506668294322"/>
      </top>
      <bottom style="medium">
        <color rgb="FFCCCCCC"/>
      </bottom>
      <diagonal/>
    </border>
    <border>
      <left style="medium">
        <color rgb="FFCCCCCC"/>
      </left>
      <right style="thin">
        <color theme="4" tint="0.39994506668294322"/>
      </right>
      <top style="thin">
        <color theme="4" tint="0.39994506668294322"/>
      </top>
      <bottom style="medium">
        <color rgb="FFCCCCCC"/>
      </bottom>
      <diagonal/>
    </border>
    <border>
      <left/>
      <right style="thin">
        <color theme="4" tint="0.39994506668294322"/>
      </right>
      <top style="thin">
        <color theme="4" tint="0.39994506668294322"/>
      </top>
      <bottom style="thin">
        <color theme="4" tint="0.39994506668294322"/>
      </bottom>
      <diagonal/>
    </border>
    <border>
      <left style="medium">
        <color rgb="FFCCCCCC"/>
      </left>
      <right style="medium">
        <color rgb="FFCCCCCC"/>
      </right>
      <top style="medium">
        <color rgb="FFCCCCCC"/>
      </top>
      <bottom style="medium">
        <color rgb="FFCCCCCC"/>
      </bottom>
      <diagonal/>
    </border>
    <border>
      <left style="medium">
        <color rgb="FFCCCCCC"/>
      </left>
      <right style="thin">
        <color theme="4" tint="0.39994506668294322"/>
      </right>
      <top style="medium">
        <color rgb="FFCCCCCC"/>
      </top>
      <bottom style="medium">
        <color rgb="FFCCCCCC"/>
      </bottom>
      <diagonal/>
    </border>
    <border>
      <left style="medium">
        <color rgb="FFCCCCCC"/>
      </left>
      <right style="medium">
        <color rgb="FFCCCCCC"/>
      </right>
      <top style="medium">
        <color rgb="FFCCCCCC"/>
      </top>
      <bottom style="thin">
        <color theme="4" tint="0.39994506668294322"/>
      </bottom>
      <diagonal/>
    </border>
    <border>
      <left style="medium">
        <color rgb="FFCCCCCC"/>
      </left>
      <right style="thin">
        <color theme="4" tint="0.39994506668294322"/>
      </right>
      <top style="medium">
        <color rgb="FFCCCCCC"/>
      </top>
      <bottom style="thin">
        <color theme="4" tint="0.39994506668294322"/>
      </bottom>
      <diagonal/>
    </border>
    <border>
      <left/>
      <right/>
      <top style="medium">
        <color auto="1"/>
      </top>
      <bottom style="thin">
        <color auto="1"/>
      </bottom>
      <diagonal/>
    </border>
    <border>
      <left/>
      <right/>
      <top/>
      <bottom style="medium">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CCCCCC"/>
      </right>
      <top style="medium">
        <color rgb="FFCCCCCC"/>
      </top>
      <bottom style="medium">
        <color rgb="FF000000"/>
      </bottom>
      <diagonal/>
    </border>
    <border>
      <left/>
      <right style="medium">
        <color rgb="FF000000"/>
      </right>
      <top style="medium">
        <color rgb="FF000000"/>
      </top>
      <bottom style="medium">
        <color rgb="FF000000"/>
      </bottom>
      <diagonal/>
    </border>
    <border>
      <left style="thin">
        <color theme="4" tint="0.39994506668294322"/>
      </left>
      <right style="medium">
        <color rgb="FFCCCCCC"/>
      </right>
      <top style="thin">
        <color theme="4" tint="0.39994506668294322"/>
      </top>
      <bottom style="medium">
        <color rgb="FFCCCCCC"/>
      </bottom>
      <diagonal/>
    </border>
    <border>
      <left style="thin">
        <color theme="4" tint="0.39994506668294322"/>
      </left>
      <right style="medium">
        <color rgb="FFCCCCCC"/>
      </right>
      <top style="medium">
        <color rgb="FFCCCCCC"/>
      </top>
      <bottom style="medium">
        <color rgb="FFCCCCCC"/>
      </bottom>
      <diagonal/>
    </border>
    <border>
      <left/>
      <right/>
      <top style="medium">
        <color auto="1"/>
      </top>
      <bottom/>
      <diagonal/>
    </border>
    <border>
      <left/>
      <right/>
      <top/>
      <bottom style="thin">
        <color auto="1"/>
      </bottom>
      <diagonal/>
    </border>
    <border>
      <left/>
      <right/>
      <top style="thin">
        <color auto="1"/>
      </top>
      <bottom style="thin">
        <color auto="1"/>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
      <left style="thin">
        <color theme="4" tint="0.39991454817346722"/>
      </left>
      <right style="medium">
        <color rgb="FFCCCCCC"/>
      </right>
      <top style="thin">
        <color theme="4" tint="0.39991454817346722"/>
      </top>
      <bottom style="medium">
        <color rgb="FFCCCCCC"/>
      </bottom>
      <diagonal/>
    </border>
    <border>
      <left style="medium">
        <color rgb="FFCCCCCC"/>
      </left>
      <right style="medium">
        <color rgb="FFCCCCCC"/>
      </right>
      <top style="thin">
        <color theme="4" tint="0.39991454817346722"/>
      </top>
      <bottom style="medium">
        <color rgb="FFCCCCCC"/>
      </bottom>
      <diagonal/>
    </border>
    <border>
      <left style="medium">
        <color rgb="FFCCCCCC"/>
      </left>
      <right style="thin">
        <color theme="4" tint="0.39991454817346722"/>
      </right>
      <top style="thin">
        <color theme="4" tint="0.39991454817346722"/>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0" fontId="6" fillId="0" borderId="0"/>
  </cellStyleXfs>
  <cellXfs count="98">
    <xf numFmtId="0" fontId="0" fillId="0" borderId="0" xfId="0"/>
    <xf numFmtId="0" fontId="0" fillId="2" borderId="0" xfId="0" applyFill="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5" fillId="7" borderId="1" xfId="0" applyFont="1" applyFill="1" applyBorder="1" applyAlignment="1">
      <alignment wrapText="1"/>
    </xf>
    <xf numFmtId="0" fontId="5" fillId="7" borderId="2" xfId="0" applyFont="1" applyFill="1" applyBorder="1" applyAlignment="1">
      <alignment wrapText="1"/>
    </xf>
    <xf numFmtId="0" fontId="5" fillId="7" borderId="3" xfId="0" applyFont="1" applyFill="1" applyBorder="1"/>
    <xf numFmtId="0" fontId="0" fillId="8" borderId="4" xfId="0" applyFont="1" applyFill="1" applyBorder="1" applyAlignment="1">
      <alignment wrapText="1"/>
    </xf>
    <xf numFmtId="0" fontId="6" fillId="8" borderId="5" xfId="0" applyFont="1" applyFill="1" applyBorder="1" applyAlignment="1">
      <alignment horizontal="right" wrapText="1"/>
    </xf>
    <xf numFmtId="0" fontId="0" fillId="8" borderId="1" xfId="0" applyFont="1" applyFill="1" applyBorder="1" applyAlignment="1">
      <alignment wrapText="1"/>
    </xf>
    <xf numFmtId="0" fontId="0" fillId="0" borderId="4" xfId="0" applyFont="1" applyBorder="1" applyAlignment="1">
      <alignment wrapText="1"/>
    </xf>
    <xf numFmtId="0" fontId="6" fillId="0" borderId="5" xfId="0" applyFont="1" applyBorder="1" applyAlignment="1">
      <alignment horizontal="right" wrapText="1"/>
    </xf>
    <xf numFmtId="0" fontId="0" fillId="0" borderId="6" xfId="0" applyFont="1" applyBorder="1" applyAlignment="1">
      <alignment wrapText="1"/>
    </xf>
    <xf numFmtId="0" fontId="6" fillId="0" borderId="7" xfId="0" applyFont="1" applyBorder="1" applyAlignment="1">
      <alignment horizontal="right" wrapText="1"/>
    </xf>
    <xf numFmtId="0" fontId="6" fillId="0" borderId="0" xfId="1"/>
    <xf numFmtId="0" fontId="6" fillId="8" borderId="4" xfId="0" applyFont="1" applyFill="1" applyBorder="1" applyAlignment="1">
      <alignment horizontal="right" wrapText="1"/>
    </xf>
    <xf numFmtId="0" fontId="7" fillId="0" borderId="8" xfId="1" applyFont="1" applyFill="1" applyBorder="1" applyAlignment="1">
      <alignment horizontal="centerContinuous"/>
    </xf>
    <xf numFmtId="0" fontId="6" fillId="0" borderId="4" xfId="0" applyFont="1" applyBorder="1" applyAlignment="1">
      <alignment horizontal="right" wrapText="1"/>
    </xf>
    <xf numFmtId="0" fontId="6" fillId="0" borderId="0" xfId="1" applyFill="1" applyBorder="1" applyAlignment="1"/>
    <xf numFmtId="0" fontId="6" fillId="9" borderId="5" xfId="0" applyFont="1" applyFill="1" applyBorder="1" applyAlignment="1">
      <alignment horizontal="right" wrapText="1"/>
    </xf>
    <xf numFmtId="0" fontId="6" fillId="10" borderId="5" xfId="0" applyFont="1" applyFill="1" applyBorder="1" applyAlignment="1">
      <alignment horizontal="right" wrapText="1"/>
    </xf>
    <xf numFmtId="0" fontId="6" fillId="0" borderId="9" xfId="1" applyFill="1" applyBorder="1" applyAlignment="1"/>
    <xf numFmtId="0" fontId="6" fillId="10" borderId="4" xfId="0" applyFont="1" applyFill="1" applyBorder="1" applyAlignment="1">
      <alignment horizontal="right" wrapText="1"/>
    </xf>
    <xf numFmtId="0" fontId="6" fillId="9" borderId="4" xfId="0" applyFont="1" applyFill="1" applyBorder="1" applyAlignment="1">
      <alignment horizontal="right" wrapText="1"/>
    </xf>
    <xf numFmtId="0" fontId="7" fillId="0" borderId="8" xfId="1" applyFont="1" applyFill="1" applyBorder="1" applyAlignment="1">
      <alignment horizontal="center"/>
    </xf>
    <xf numFmtId="0" fontId="8" fillId="12" borderId="12" xfId="0" applyFont="1" applyFill="1" applyBorder="1" applyAlignment="1">
      <alignment horizontal="center" vertical="center" wrapText="1"/>
    </xf>
    <xf numFmtId="0" fontId="6" fillId="0" borderId="12" xfId="0" applyFont="1" applyBorder="1" applyAlignment="1">
      <alignment vertical="center" wrapText="1"/>
    </xf>
    <xf numFmtId="4" fontId="6" fillId="0" borderId="12" xfId="0" applyNumberFormat="1" applyFont="1" applyBorder="1" applyAlignment="1">
      <alignment vertical="center" wrapText="1"/>
    </xf>
    <xf numFmtId="0" fontId="6" fillId="0" borderId="16" xfId="0" applyFont="1" applyBorder="1" applyAlignment="1">
      <alignment vertical="center" wrapText="1"/>
    </xf>
    <xf numFmtId="0" fontId="6" fillId="0" borderId="4" xfId="0" applyFont="1" applyBorder="1" applyAlignment="1">
      <alignment vertical="center" wrapText="1"/>
    </xf>
    <xf numFmtId="0" fontId="8" fillId="0" borderId="12" xfId="0" applyFont="1" applyBorder="1" applyAlignment="1">
      <alignment horizontal="center" vertical="center" wrapText="1"/>
    </xf>
    <xf numFmtId="0" fontId="5" fillId="7" borderId="18" xfId="0" applyFont="1" applyFill="1" applyBorder="1" applyAlignment="1">
      <alignment wrapText="1"/>
    </xf>
    <xf numFmtId="0" fontId="6" fillId="8" borderId="19" xfId="0" applyFont="1" applyFill="1" applyBorder="1" applyAlignment="1">
      <alignment wrapText="1"/>
    </xf>
    <xf numFmtId="14" fontId="6" fillId="8" borderId="4" xfId="0" applyNumberFormat="1" applyFont="1" applyFill="1" applyBorder="1" applyAlignment="1">
      <alignment horizontal="right" wrapText="1"/>
    </xf>
    <xf numFmtId="0" fontId="6" fillId="8" borderId="4" xfId="0" applyFont="1" applyFill="1" applyBorder="1" applyAlignment="1">
      <alignment wrapText="1"/>
    </xf>
    <xf numFmtId="0" fontId="6" fillId="0" borderId="19" xfId="0" applyFont="1" applyBorder="1" applyAlignment="1">
      <alignment wrapText="1"/>
    </xf>
    <xf numFmtId="14" fontId="6" fillId="0" borderId="4" xfId="0" applyNumberFormat="1" applyFont="1" applyBorder="1" applyAlignment="1">
      <alignment horizontal="right" wrapText="1"/>
    </xf>
    <xf numFmtId="0" fontId="6" fillId="0" borderId="4" xfId="0" applyFont="1" applyBorder="1" applyAlignment="1">
      <alignment wrapText="1"/>
    </xf>
    <xf numFmtId="1" fontId="6" fillId="8" borderId="4" xfId="0" applyNumberFormat="1" applyFont="1" applyFill="1" applyBorder="1" applyAlignment="1">
      <alignment horizontal="right" wrapText="1"/>
    </xf>
    <xf numFmtId="0" fontId="10" fillId="13" borderId="0" xfId="0" applyFont="1" applyFill="1"/>
    <xf numFmtId="0" fontId="0" fillId="14" borderId="0" xfId="0" applyFill="1"/>
    <xf numFmtId="0" fontId="11" fillId="10" borderId="0" xfId="0" applyFont="1" applyFill="1"/>
    <xf numFmtId="0" fontId="12" fillId="15" borderId="20" xfId="0" applyFont="1" applyFill="1" applyBorder="1" applyAlignment="1">
      <alignment horizontal="left"/>
    </xf>
    <xf numFmtId="0" fontId="13" fillId="15" borderId="20" xfId="0" applyFont="1" applyFill="1" applyBorder="1" applyAlignment="1">
      <alignment horizontal="right"/>
    </xf>
    <xf numFmtId="0" fontId="12" fillId="15" borderId="21" xfId="0" applyFont="1" applyFill="1" applyBorder="1" applyAlignment="1">
      <alignment horizontal="left"/>
    </xf>
    <xf numFmtId="0" fontId="13" fillId="15" borderId="21" xfId="0" applyFont="1" applyFill="1" applyBorder="1" applyAlignment="1">
      <alignment horizontal="right"/>
    </xf>
    <xf numFmtId="0" fontId="14" fillId="16" borderId="0" xfId="0" applyFont="1" applyFill="1" applyBorder="1" applyAlignment="1">
      <alignment horizontal="left"/>
    </xf>
    <xf numFmtId="0" fontId="0" fillId="0" borderId="0" xfId="0" applyFill="1" applyBorder="1" applyAlignment="1"/>
    <xf numFmtId="0" fontId="15" fillId="0" borderId="0" xfId="0" applyFont="1" applyFill="1" applyBorder="1" applyAlignment="1">
      <alignment vertical="top" wrapText="1"/>
    </xf>
    <xf numFmtId="0" fontId="16" fillId="16" borderId="22" xfId="0" applyFont="1" applyFill="1" applyBorder="1" applyAlignment="1">
      <alignment horizontal="left"/>
    </xf>
    <xf numFmtId="0" fontId="0" fillId="0" borderId="22" xfId="0" applyFill="1" applyBorder="1" applyAlignment="1"/>
    <xf numFmtId="0" fontId="0" fillId="17" borderId="0" xfId="0" applyFill="1" applyBorder="1" applyAlignment="1"/>
    <xf numFmtId="0" fontId="14" fillId="16" borderId="9" xfId="0" applyFont="1" applyFill="1" applyBorder="1" applyAlignment="1">
      <alignment horizontal="left"/>
    </xf>
    <xf numFmtId="0" fontId="0" fillId="0" borderId="9" xfId="0" applyFill="1" applyBorder="1" applyAlignment="1"/>
    <xf numFmtId="0" fontId="6" fillId="0" borderId="0" xfId="0" applyFont="1"/>
    <xf numFmtId="14" fontId="0" fillId="0" borderId="0" xfId="0" applyNumberFormat="1"/>
    <xf numFmtId="22" fontId="0" fillId="0" borderId="0" xfId="0" applyNumberFormat="1"/>
    <xf numFmtId="0" fontId="0" fillId="10" borderId="0" xfId="0" applyFill="1"/>
    <xf numFmtId="164" fontId="0" fillId="0" borderId="0" xfId="0" applyNumberFormat="1"/>
    <xf numFmtId="0" fontId="17" fillId="0" borderId="23" xfId="0" applyFont="1" applyBorder="1" applyAlignment="1">
      <alignment wrapText="1"/>
    </xf>
    <xf numFmtId="0" fontId="17" fillId="0" borderId="24" xfId="0" applyFont="1" applyBorder="1" applyAlignment="1">
      <alignment wrapText="1"/>
    </xf>
    <xf numFmtId="0" fontId="0" fillId="0" borderId="25" xfId="0" applyBorder="1" applyAlignment="1">
      <alignment wrapText="1"/>
    </xf>
    <xf numFmtId="14" fontId="0" fillId="0" borderId="4" xfId="0" applyNumberFormat="1" applyBorder="1" applyAlignment="1">
      <alignment horizontal="right" wrapText="1"/>
    </xf>
    <xf numFmtId="0" fontId="0" fillId="0" borderId="4" xfId="0" applyBorder="1" applyAlignment="1">
      <alignment wrapText="1"/>
    </xf>
    <xf numFmtId="0" fontId="0" fillId="0" borderId="4" xfId="0" applyBorder="1" applyAlignment="1">
      <alignment horizontal="right" wrapText="1"/>
    </xf>
    <xf numFmtId="0" fontId="17" fillId="0" borderId="26" xfId="0" applyFont="1" applyBorder="1" applyAlignment="1">
      <alignment wrapText="1"/>
    </xf>
    <xf numFmtId="0" fontId="17" fillId="10" borderId="0" xfId="0" applyFont="1" applyFill="1" applyBorder="1" applyAlignment="1">
      <alignment wrapText="1"/>
    </xf>
    <xf numFmtId="0" fontId="0" fillId="0" borderId="27" xfId="0" applyBorder="1" applyAlignment="1">
      <alignment horizontal="right" wrapText="1"/>
    </xf>
    <xf numFmtId="0" fontId="0" fillId="10" borderId="24" xfId="0" applyFill="1" applyBorder="1" applyAlignment="1">
      <alignment horizontal="right" wrapText="1"/>
    </xf>
    <xf numFmtId="0" fontId="5" fillId="7" borderId="28" xfId="0" applyFont="1" applyFill="1" applyBorder="1" applyAlignment="1">
      <alignment wrapText="1"/>
    </xf>
    <xf numFmtId="0" fontId="0" fillId="10" borderId="4" xfId="0" applyFill="1" applyBorder="1" applyAlignment="1">
      <alignment horizontal="right" wrapText="1"/>
    </xf>
    <xf numFmtId="0" fontId="5" fillId="7" borderId="29" xfId="0" applyFont="1" applyFill="1" applyBorder="1" applyAlignment="1">
      <alignment wrapText="1"/>
    </xf>
    <xf numFmtId="0" fontId="5" fillId="7" borderId="30" xfId="0" applyFont="1" applyFill="1" applyBorder="1" applyAlignment="1">
      <alignment wrapText="1"/>
    </xf>
    <xf numFmtId="0" fontId="0" fillId="0" borderId="31" xfId="0" applyBorder="1" applyAlignment="1">
      <alignment wrapText="1"/>
    </xf>
    <xf numFmtId="14" fontId="0" fillId="0" borderId="32" xfId="0" applyNumberFormat="1" applyBorder="1" applyAlignment="1">
      <alignment horizontal="right" wrapText="1"/>
    </xf>
    <xf numFmtId="0" fontId="0" fillId="0" borderId="32" xfId="0" applyBorder="1" applyAlignment="1">
      <alignment wrapText="1"/>
    </xf>
    <xf numFmtId="0" fontId="0" fillId="0" borderId="32" xfId="0" applyBorder="1" applyAlignment="1">
      <alignment horizontal="right" wrapText="1"/>
    </xf>
    <xf numFmtId="0" fontId="0" fillId="0" borderId="33" xfId="0" applyBorder="1" applyAlignment="1">
      <alignment horizontal="right" wrapText="1"/>
    </xf>
    <xf numFmtId="0" fontId="0" fillId="10" borderId="32" xfId="0" applyFill="1" applyBorder="1" applyAlignment="1">
      <alignment horizontal="right" wrapText="1"/>
    </xf>
    <xf numFmtId="0" fontId="0" fillId="0" borderId="0" xfId="0" pivotButton="1"/>
    <xf numFmtId="0" fontId="18" fillId="18" borderId="0" xfId="0" applyFont="1" applyFill="1" applyAlignment="1">
      <alignment horizontal="center"/>
    </xf>
    <xf numFmtId="0" fontId="8" fillId="11" borderId="10" xfId="0" applyFont="1" applyFill="1" applyBorder="1" applyAlignment="1">
      <alignment horizontal="center" vertical="center" wrapText="1"/>
    </xf>
    <xf numFmtId="0" fontId="8" fillId="11" borderId="11" xfId="0" applyFont="1" applyFill="1" applyBorder="1" applyAlignment="1">
      <alignment horizontal="center" vertical="center" wrapText="1"/>
    </xf>
    <xf numFmtId="0" fontId="8" fillId="11" borderId="17" xfId="0" applyFont="1" applyFill="1" applyBorder="1" applyAlignment="1">
      <alignment horizontal="center"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9" fillId="0" borderId="17" xfId="0" applyFont="1" applyBorder="1" applyAlignment="1">
      <alignment vertical="center" wrapText="1"/>
    </xf>
    <xf numFmtId="0" fontId="6" fillId="0" borderId="13" xfId="0" applyFont="1" applyBorder="1" applyAlignment="1">
      <alignment vertical="center" wrapText="1"/>
    </xf>
    <xf numFmtId="0" fontId="6" fillId="0" borderId="14" xfId="0" applyFont="1" applyBorder="1" applyAlignment="1">
      <alignment vertical="center" wrapText="1"/>
    </xf>
    <xf numFmtId="0" fontId="6" fillId="0" borderId="15" xfId="0" applyFont="1" applyBorder="1" applyAlignment="1">
      <alignment vertical="center" wrapText="1"/>
    </xf>
    <xf numFmtId="4" fontId="6" fillId="0" borderId="13" xfId="0" applyNumberFormat="1" applyFont="1" applyBorder="1" applyAlignment="1">
      <alignment vertical="center" wrapText="1"/>
    </xf>
    <xf numFmtId="4" fontId="6" fillId="0" borderId="14" xfId="0" applyNumberFormat="1" applyFont="1" applyBorder="1" applyAlignment="1">
      <alignment vertical="center" wrapText="1"/>
    </xf>
    <xf numFmtId="4" fontId="6" fillId="0" borderId="15" xfId="0" applyNumberFormat="1" applyFont="1" applyBorder="1" applyAlignment="1">
      <alignment vertical="center" wrapText="1"/>
    </xf>
    <xf numFmtId="3" fontId="4" fillId="6" borderId="0" xfId="0" applyNumberFormat="1" applyFont="1" applyFill="1" applyBorder="1" applyAlignment="1">
      <alignment horizontal="center" vertical="center" wrapText="1"/>
    </xf>
    <xf numFmtId="0" fontId="1" fillId="3" borderId="0" xfId="0" applyFont="1" applyFill="1" applyBorder="1" applyAlignment="1">
      <alignment horizontal="center" vertical="center" wrapText="1"/>
    </xf>
    <xf numFmtId="0" fontId="3" fillId="5" borderId="0" xfId="0" applyFont="1" applyFill="1" applyBorder="1" applyAlignment="1">
      <alignment horizontal="center" vertical="center" wrapText="1"/>
    </xf>
    <xf numFmtId="3" fontId="2" fillId="4" borderId="0" xfId="0" applyNumberFormat="1" applyFont="1" applyFill="1" applyBorder="1" applyAlignment="1">
      <alignment horizontal="center" vertical="center" wrapText="1"/>
    </xf>
  </cellXfs>
  <cellStyles count="2">
    <cellStyle name="Normal" xfId="0" builtinId="0"/>
    <cellStyle name="Normal 2" xfId="1"/>
  </cellStyles>
  <dxfs count="21">
    <dxf>
      <font>
        <color rgb="FF9C0006"/>
      </font>
      <fill>
        <patternFill patternType="solid">
          <bgColor rgb="FFFFC7CE"/>
        </patternFill>
      </fill>
    </dxf>
    <dxf>
      <numFmt numFmtId="0" formatCode="General"/>
    </dxf>
    <dxf>
      <numFmt numFmtId="0" formatCode="General"/>
    </dxf>
    <dxf>
      <numFmt numFmtId="0" formatCode="General"/>
    </dxf>
    <dxf>
      <numFmt numFmtId="27" formatCode="m/d/yyyy\ h:mm"/>
    </dxf>
    <dxf>
      <numFmt numFmtId="19" formatCode="m/d/yyyy"/>
    </dxf>
    <dxf>
      <numFmt numFmtId="0" formatCode="General"/>
      <fill>
        <patternFill patternType="solid">
          <bgColor theme="0"/>
        </patternFill>
      </fill>
      <alignment wrapText="1"/>
      <border>
        <left style="medium">
          <color rgb="FFCCCCCC"/>
        </left>
        <right style="medium">
          <color rgb="FFCCCCCC"/>
        </right>
        <top style="medium">
          <color rgb="FFCCCCCC"/>
        </top>
        <bottom style="medium">
          <color rgb="FFCCCCCC"/>
        </bottom>
      </border>
    </dxf>
    <dxf>
      <alignment horizontal="right" wrapText="1"/>
      <border>
        <left style="medium">
          <color rgb="FFCCCCCC"/>
        </left>
        <right/>
        <top style="medium">
          <color rgb="FFCCCCCC"/>
        </top>
        <bottom style="medium">
          <color rgb="FFCCCCCC"/>
        </bottom>
      </border>
    </dxf>
    <dxf>
      <numFmt numFmtId="19" formatCode="m/d/yyyy"/>
      <alignment horizontal="righ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horizontal="right" wrapText="1"/>
      <border>
        <left style="medium">
          <color rgb="FFCCCCCC"/>
        </left>
        <right style="medium">
          <color rgb="FFCCCCCC"/>
        </right>
        <top style="medium">
          <color rgb="FFCCCCCC"/>
        </top>
        <bottom style="medium">
          <color rgb="FFCCCCCC"/>
        </bottom>
      </border>
    </dxf>
    <dxf>
      <alignment horizontal="righ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alignment wrapText="1"/>
      <border>
        <left style="medium">
          <color rgb="FFCCCCCC"/>
        </left>
        <right style="medium">
          <color rgb="FFCCCCCC"/>
        </right>
        <top style="medium">
          <color rgb="FFCCCCCC"/>
        </top>
        <bottom style="medium">
          <color rgb="FFCCCCCC"/>
        </bottom>
      </border>
    </dxf>
    <dxf>
      <numFmt numFmtId="19" formatCode="m/d/yyyy"/>
      <alignment horizontal="right" wrapText="1"/>
      <border>
        <left style="medium">
          <color rgb="FFCCCCCC"/>
        </left>
        <right style="medium">
          <color rgb="FFCCCCCC"/>
        </right>
        <top style="medium">
          <color rgb="FFCCCCCC"/>
        </top>
        <bottom style="medium">
          <color rgb="FFCCCCCC"/>
        </bottom>
      </border>
    </dxf>
    <dxf>
      <alignment wrapText="1"/>
      <border>
        <left/>
        <right style="medium">
          <color rgb="FFCCCCCC"/>
        </right>
        <top style="medium">
          <color rgb="FFCCCCCC"/>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[Final_project_2.xlsx]PivotTable!PivotTable1</c:name>
    <c:fmtId val="4"/>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bg1"/>
                  </a:solidFill>
                  <a:effectLst>
                    <a:glow rad="63500">
                      <a:schemeClr val="accent5">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PivotTable!$B$1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3D-4C7A-AC18-49F661834C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3D-4C7A-AC18-49F661834C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3D-4C7A-AC18-49F661834C48}"/>
              </c:ext>
            </c:extLst>
          </c:dPt>
          <c:dLbls>
            <c:spPr>
              <a:noFill/>
              <a:ln>
                <a:noFill/>
              </a:ln>
              <a:effectLst/>
            </c:spPr>
            <c:txPr>
              <a:bodyPr rot="0" spcFirstLastPara="1" vertOverflow="ellipsis" vert="horz" wrap="square" lIns="38100" tIns="19050" rIns="38100" bIns="19050" anchor="ctr" anchorCtr="1">
                <a:spAutoFit/>
              </a:bodyPr>
              <a:lstStyle/>
              <a:p>
                <a:pPr>
                  <a:defRPr lang="en-GB" sz="900" b="0" i="0" u="none" strike="noStrike" kern="1200" baseline="0">
                    <a:solidFill>
                      <a:schemeClr val="bg1"/>
                    </a:solidFill>
                    <a:effectLst>
                      <a:glow rad="63500">
                        <a:schemeClr val="accent5">
                          <a:satMod val="175000"/>
                          <a:alpha val="40000"/>
                        </a:schemeClr>
                      </a:glo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PivotTable!$A$2:$A$4</c:f>
              <c:strCache>
                <c:ptCount val="3"/>
                <c:pt idx="0">
                  <c:v>Appliances</c:v>
                </c:pt>
                <c:pt idx="1">
                  <c:v>Electronics</c:v>
                </c:pt>
                <c:pt idx="2">
                  <c:v>Furniture</c:v>
                </c:pt>
              </c:strCache>
            </c:strRef>
          </c:cat>
          <c:val>
            <c:numRef>
              <c:f>PivotTable!$B$2:$B$4</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7-6B6F-4CF6-8850-8B791460840F}"/>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152274715660499"/>
          <c:y val="0.382811679790026"/>
          <c:w val="0.15128941422759834"/>
          <c:h val="0.24883437862230848"/>
        </c:manualLayout>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bg1"/>
              </a:solidFill>
              <a:effectLst>
                <a:glow rad="63500">
                  <a:schemeClr val="accent5">
                    <a:satMod val="175000"/>
                    <a:alpha val="40000"/>
                  </a:schemeClr>
                </a:glow>
              </a:effectLst>
              <a:latin typeface="+mn-lt"/>
              <a:ea typeface="+mn-ea"/>
              <a:cs typeface="+mn-cs"/>
            </a:defRPr>
          </a:pPr>
          <a:endParaRPr lang="en-US"/>
        </a:p>
      </c:txPr>
    </c:legend>
    <c:plotVisOnly val="1"/>
    <c:dispBlanksAs val="gap"/>
    <c:showDLblsOverMax val="0"/>
    <c:extLst>
      <c:ext uri="{0b15fc19-7d7d-44ad-8c2d-2c3a37ce22c3}">
        <chartProps xmlns="https://web.wps.cn/et/2018/main" chartId="{711c3058-a9bd-4ee6-b956-9de653eca0e3}"/>
      </c:ext>
    </c:extLst>
  </c:chart>
  <c:spPr>
    <a:noFill/>
    <a:ln w="9525" cap="flat" cmpd="sng" algn="ctr">
      <a:noFill/>
      <a:round/>
    </a:ln>
    <a:effectLst>
      <a:glow rad="228600">
        <a:schemeClr val="accent3">
          <a:satMod val="175000"/>
          <a:alpha val="40000"/>
        </a:schemeClr>
      </a:glow>
    </a:effectLst>
  </c:spPr>
  <c:txPr>
    <a:bodyPr/>
    <a:lstStyle/>
    <a:p>
      <a:pPr>
        <a:defRPr lang="en-GB"/>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[Final_project_2.xlsx]PivotTable!PivotTable3</c:name>
    <c:fmtId val="5"/>
  </c:pivotSource>
  <c:chart>
    <c:autoTitleDeleted val="1"/>
    <c:pivotFmts>
      <c:pivotFmt>
        <c:idx val="0"/>
        <c:spPr>
          <a:ln w="28575" cap="sq">
            <a:solidFill>
              <a:schemeClr val="accent2"/>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10136482939633"/>
          <c:y val="5.0925925925925902E-2"/>
          <c:w val="0.86486351706036702"/>
          <c:h val="0.84167468649752097"/>
        </c:manualLayout>
      </c:layout>
      <c:lineChart>
        <c:grouping val="standard"/>
        <c:varyColors val="0"/>
        <c:ser>
          <c:idx val="0"/>
          <c:order val="0"/>
          <c:tx>
            <c:strRef>
              <c:f>PivotTable!$H$1</c:f>
              <c:strCache>
                <c:ptCount val="1"/>
                <c:pt idx="0">
                  <c:v>Total</c:v>
                </c:pt>
              </c:strCache>
            </c:strRef>
          </c:tx>
          <c:spPr>
            <a:ln w="28575" cap="sq">
              <a:solidFill>
                <a:schemeClr val="accent2"/>
              </a:solidFill>
              <a:round/>
            </a:ln>
            <a:effectLst/>
          </c:spPr>
          <c:marker>
            <c:symbol val="circle"/>
            <c:size val="5"/>
            <c:spPr>
              <a:solidFill>
                <a:schemeClr val="accent1"/>
              </a:solidFill>
              <a:ln w="9525">
                <a:solidFill>
                  <a:schemeClr val="accent1"/>
                </a:solidFill>
              </a:ln>
              <a:effectLst/>
            </c:spPr>
          </c:marker>
          <c:cat>
            <c:strRef>
              <c:f>PivotTable!$G$2:$G$13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PivotTable!$H$2:$H$13</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1-699E-458E-9816-282D8B917407}"/>
            </c:ext>
          </c:extLst>
        </c:ser>
        <c:dLbls>
          <c:showLegendKey val="0"/>
          <c:showVal val="0"/>
          <c:showCatName val="0"/>
          <c:showSerName val="0"/>
          <c:showPercent val="0"/>
          <c:showBubbleSize val="0"/>
        </c:dLbls>
        <c:marker val="1"/>
        <c:smooth val="0"/>
        <c:axId val="538561775"/>
        <c:axId val="538574255"/>
      </c:lineChart>
      <c:catAx>
        <c:axId val="53856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effectLst>
                  <a:glow rad="63500">
                    <a:schemeClr val="accent5">
                      <a:satMod val="175000"/>
                      <a:alpha val="40000"/>
                    </a:schemeClr>
                  </a:glow>
                </a:effectLst>
                <a:latin typeface="+mn-lt"/>
                <a:ea typeface="+mn-ea"/>
                <a:cs typeface="+mn-cs"/>
              </a:defRPr>
            </a:pPr>
            <a:endParaRPr lang="en-US"/>
          </a:p>
        </c:txPr>
        <c:crossAx val="538574255"/>
        <c:crosses val="autoZero"/>
        <c:auto val="1"/>
        <c:lblAlgn val="ctr"/>
        <c:lblOffset val="100"/>
        <c:noMultiLvlLbl val="0"/>
      </c:catAx>
      <c:valAx>
        <c:axId val="538574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effectLst>
                  <a:glow rad="63500">
                    <a:schemeClr val="accent5">
                      <a:satMod val="175000"/>
                      <a:alpha val="40000"/>
                    </a:schemeClr>
                  </a:glow>
                </a:effectLst>
                <a:latin typeface="+mn-lt"/>
                <a:ea typeface="+mn-ea"/>
                <a:cs typeface="+mn-cs"/>
              </a:defRPr>
            </a:pPr>
            <a:endParaRPr lang="en-US"/>
          </a:p>
        </c:txPr>
        <c:crossAx val="538561775"/>
        <c:crosses val="autoZero"/>
        <c:crossBetween val="between"/>
      </c:valAx>
      <c:spPr>
        <a:noFill/>
        <a:ln>
          <a:noFill/>
        </a:ln>
        <a:effectLst/>
      </c:spPr>
    </c:plotArea>
    <c:plotVisOnly val="1"/>
    <c:dispBlanksAs val="gap"/>
    <c:showDLblsOverMax val="0"/>
    <c:extLst>
      <c:ext uri="{0b15fc19-7d7d-44ad-8c2d-2c3a37ce22c3}">
        <chartProps xmlns="https://web.wps.cn/et/2018/main" chartId="{60b41cfe-ddaa-4415-aa1d-ed8d47869318}"/>
      </c:ext>
    </c:extLst>
  </c:chart>
  <c:spPr>
    <a:noFill/>
    <a:ln w="9525" cap="flat" cmpd="sng" algn="ctr">
      <a:noFill/>
      <a:round/>
    </a:ln>
    <a:effectLst/>
  </c:spPr>
  <c:txPr>
    <a:bodyPr/>
    <a:lstStyle/>
    <a:p>
      <a:pPr>
        <a:defRPr lang="en-GB">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2"/>
          </a:solidFill>
          <a:effectLst>
            <a:glow rad="63500">
              <a:schemeClr val="accent5">
                <a:satMod val="175000"/>
                <a:alpha val="40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[Final_project_2.xlsx]PivotTable!PivotTable2</c:name>
    <c:fmtId val="5"/>
  </c:pivotSource>
  <c:chart>
    <c:autoTitleDeleted val="1"/>
    <c:pivotFmts>
      <c:pivotFmt>
        <c:idx val="0"/>
        <c:spPr>
          <a:solidFill>
            <a:schemeClr val="accent2"/>
          </a:solidFill>
          <a:ln>
            <a:noFill/>
          </a:ln>
          <a:effectLst/>
        </c:spPr>
        <c:marker>
          <c:symbol val="none"/>
        </c:marker>
      </c:pivotFmt>
    </c:pivotFmts>
    <c:plotArea>
      <c:layout/>
      <c:barChart>
        <c:barDir val="col"/>
        <c:grouping val="stacked"/>
        <c:varyColors val="0"/>
        <c:ser>
          <c:idx val="0"/>
          <c:order val="0"/>
          <c:tx>
            <c:strRef>
              <c:f>PivotTable!$E$1</c:f>
              <c:strCache>
                <c:ptCount val="1"/>
                <c:pt idx="0">
                  <c:v>Total</c:v>
                </c:pt>
              </c:strCache>
            </c:strRef>
          </c:tx>
          <c:spPr>
            <a:solidFill>
              <a:schemeClr val="accent2"/>
            </a:solidFill>
            <a:ln>
              <a:noFill/>
            </a:ln>
            <a:effectLst/>
          </c:spPr>
          <c:invertIfNegative val="0"/>
          <c:cat>
            <c:strRef>
              <c:f>PivotTable!$D$2:$D$6</c:f>
              <c:strCache>
                <c:ptCount val="5"/>
                <c:pt idx="0">
                  <c:v>Central</c:v>
                </c:pt>
                <c:pt idx="1">
                  <c:v>East</c:v>
                </c:pt>
                <c:pt idx="2">
                  <c:v>North</c:v>
                </c:pt>
                <c:pt idx="3">
                  <c:v>South</c:v>
                </c:pt>
                <c:pt idx="4">
                  <c:v>West</c:v>
                </c:pt>
              </c:strCache>
            </c:strRef>
          </c:cat>
          <c:val>
            <c:numRef>
              <c:f>PivotTable!$E$2:$E$6</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1-8E82-4F5D-9573-F3704898E000}"/>
            </c:ext>
          </c:extLst>
        </c:ser>
        <c:dLbls>
          <c:showLegendKey val="0"/>
          <c:showVal val="0"/>
          <c:showCatName val="0"/>
          <c:showSerName val="0"/>
          <c:showPercent val="0"/>
          <c:showBubbleSize val="0"/>
        </c:dLbls>
        <c:gapWidth val="150"/>
        <c:overlap val="100"/>
        <c:axId val="626791455"/>
        <c:axId val="626787295"/>
      </c:barChart>
      <c:catAx>
        <c:axId val="626791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bg1"/>
                </a:solidFill>
                <a:effectLst>
                  <a:glow rad="266700">
                    <a:schemeClr val="accent5">
                      <a:satMod val="175000"/>
                      <a:alpha val="40000"/>
                    </a:schemeClr>
                  </a:glow>
                  <a:outerShdw dist="50800" dir="4800000" algn="ctr" rotWithShape="0">
                    <a:srgbClr val="000000">
                      <a:alpha val="43137"/>
                    </a:srgbClr>
                  </a:outerShdw>
                </a:effectLst>
                <a:latin typeface="+mn-lt"/>
                <a:ea typeface="+mn-ea"/>
                <a:cs typeface="+mn-cs"/>
              </a:defRPr>
            </a:pPr>
            <a:endParaRPr lang="en-US"/>
          </a:p>
        </c:txPr>
        <c:crossAx val="626787295"/>
        <c:crosses val="autoZero"/>
        <c:auto val="1"/>
        <c:lblAlgn val="ctr"/>
        <c:lblOffset val="100"/>
        <c:noMultiLvlLbl val="0"/>
      </c:catAx>
      <c:valAx>
        <c:axId val="6267872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bg1"/>
                </a:solidFill>
                <a:effectLst>
                  <a:glow rad="266700">
                    <a:schemeClr val="accent5">
                      <a:satMod val="175000"/>
                      <a:alpha val="40000"/>
                    </a:schemeClr>
                  </a:glow>
                  <a:outerShdw dist="50800" dir="4800000" algn="ctr" rotWithShape="0">
                    <a:srgbClr val="000000">
                      <a:alpha val="43137"/>
                    </a:srgbClr>
                  </a:outerShdw>
                </a:effectLst>
                <a:latin typeface="+mn-lt"/>
                <a:ea typeface="+mn-ea"/>
                <a:cs typeface="+mn-cs"/>
              </a:defRPr>
            </a:pPr>
            <a:endParaRPr lang="en-US"/>
          </a:p>
        </c:txPr>
        <c:crossAx val="626791455"/>
        <c:crosses val="autoZero"/>
        <c:crossBetween val="between"/>
      </c:valAx>
      <c:spPr>
        <a:noFill/>
        <a:ln>
          <a:noFill/>
        </a:ln>
        <a:effectLst>
          <a:glow rad="63500">
            <a:schemeClr val="accent1">
              <a:satMod val="175000"/>
              <a:alpha val="40000"/>
            </a:schemeClr>
          </a:glow>
        </a:effectLst>
      </c:spPr>
    </c:plotArea>
    <c:plotVisOnly val="1"/>
    <c:dispBlanksAs val="gap"/>
    <c:showDLblsOverMax val="0"/>
    <c:extLst>
      <c:ext uri="{0b15fc19-7d7d-44ad-8c2d-2c3a37ce22c3}">
        <chartProps xmlns="https://web.wps.cn/et/2018/main" chartId="{17d67eb2-d0c3-4f71-b107-0abe5f1e5c65}"/>
      </c:ext>
    </c:extLst>
  </c:chart>
  <c:spPr>
    <a:noFill/>
    <a:ln w="9525" cap="flat" cmpd="sng" algn="ctr">
      <a:noFill/>
      <a:round/>
    </a:ln>
    <a:effectLst/>
  </c:spPr>
  <c:txPr>
    <a:bodyPr/>
    <a:lstStyle/>
    <a:p>
      <a:pPr>
        <a:defRPr lang="en-GB">
          <a:solidFill>
            <a:schemeClr val="bg1"/>
          </a:solidFill>
          <a:effectLst>
            <a:glow rad="266700">
              <a:schemeClr val="accent5">
                <a:satMod val="175000"/>
                <a:alpha val="40000"/>
              </a:schemeClr>
            </a:glow>
            <a:outerShdw dist="50800" dir="4800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250825</xdr:colOff>
      <xdr:row>17</xdr:row>
      <xdr:rowOff>67945</xdr:rowOff>
    </xdr:from>
    <xdr:to>
      <xdr:col>23</xdr:col>
      <xdr:colOff>45720</xdr:colOff>
      <xdr:row>31</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104140</xdr:colOff>
      <xdr:row>5</xdr:row>
      <xdr:rowOff>50800</xdr:rowOff>
    </xdr:from>
    <xdr:to>
      <xdr:col>23</xdr:col>
      <xdr:colOff>256540</xdr:colOff>
      <xdr:row>16</xdr:row>
      <xdr:rowOff>165100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6</xdr:row>
      <xdr:rowOff>7620</xdr:rowOff>
    </xdr:from>
    <xdr:to>
      <xdr:col>14</xdr:col>
      <xdr:colOff>22860</xdr:colOff>
      <xdr:row>27</xdr:row>
      <xdr:rowOff>160020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0</xdr:col>
      <xdr:colOff>0</xdr:colOff>
      <xdr:row>0</xdr:row>
      <xdr:rowOff>0</xdr:rowOff>
    </xdr:to>
    <xdr:sp macro="" textlink="">
      <xdr:nvSpPr>
        <xdr:cNvPr id="8" name="Date"/>
        <xdr:cNvSpPr/>
      </xdr:nvSpPr>
      <xdr:spPr>
        <a:xfrm>
          <a:off x="0" y="0"/>
          <a:ext cx="0" cy="0"/>
        </a:xfrm>
      </xdr:spPr>
    </xdr:sp>
    <xdr:clientData/>
  </xdr:twoCellAnchor>
  <xdr:twoCellAnchor>
    <xdr:from>
      <xdr:col>0</xdr:col>
      <xdr:colOff>53340</xdr:colOff>
      <xdr:row>0</xdr:row>
      <xdr:rowOff>83820</xdr:rowOff>
    </xdr:from>
    <xdr:to>
      <xdr:col>23</xdr:col>
      <xdr:colOff>320040</xdr:colOff>
      <xdr:row>4</xdr:row>
      <xdr:rowOff>153035</xdr:rowOff>
    </xdr:to>
    <xdr:sp macro="" textlink="">
      <xdr:nvSpPr>
        <xdr:cNvPr id="9" name="Rounded Rectangle 8"/>
        <xdr:cNvSpPr/>
      </xdr:nvSpPr>
      <xdr:spPr>
        <a:xfrm>
          <a:off x="53340" y="83820"/>
          <a:ext cx="14287500" cy="800735"/>
        </a:xfrm>
        <a:prstGeom prst="roundRect">
          <a:avLst>
            <a:gd name="adj" fmla="val 32576"/>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oneCellAnchor>
    <xdr:from>
      <xdr:col>0</xdr:col>
      <xdr:colOff>83820</xdr:colOff>
      <xdr:row>1</xdr:row>
      <xdr:rowOff>11245</xdr:rowOff>
    </xdr:from>
    <xdr:ext cx="4305923" cy="530658"/>
    <xdr:sp macro="" textlink="">
      <xdr:nvSpPr>
        <xdr:cNvPr id="10" name="Rectangle 9"/>
        <xdr:cNvSpPr/>
      </xdr:nvSpPr>
      <xdr:spPr>
        <a:xfrm>
          <a:off x="83820" y="193675"/>
          <a:ext cx="4305300" cy="530860"/>
        </a:xfrm>
        <a:prstGeom prst="rect">
          <a:avLst/>
        </a:prstGeom>
        <a:noFill/>
      </xdr:spPr>
      <xdr:txBody>
        <a:bodyPr wrap="none" lIns="91440" tIns="45720" rIns="91440" bIns="45720">
          <a:spAutoFit/>
        </a:bodyPr>
        <a:lstStyle/>
        <a:p>
          <a:pPr algn="ctr"/>
          <a:r>
            <a:rPr lang="en-US" sz="2800" b="1" cap="none" spc="0">
              <a:ln w="22225">
                <a:solidFill>
                  <a:schemeClr val="accent2"/>
                </a:solidFill>
                <a:prstDash val="solid"/>
              </a:ln>
              <a:solidFill>
                <a:schemeClr val="accent2">
                  <a:lumMod val="40000"/>
                  <a:lumOff val="60000"/>
                </a:schemeClr>
              </a:solidFill>
              <a:effectLst/>
            </a:rPr>
            <a:t>CUSTOMER TRANSACTIONS</a:t>
          </a:r>
        </a:p>
      </xdr:txBody>
    </xdr:sp>
    <xdr:clientData/>
  </xdr:oneCellAnchor>
  <xdr:twoCellAnchor editAs="oneCell">
    <xdr:from>
      <xdr:col>7</xdr:col>
      <xdr:colOff>137160</xdr:colOff>
      <xdr:row>0</xdr:row>
      <xdr:rowOff>106680</xdr:rowOff>
    </xdr:from>
    <xdr:to>
      <xdr:col>12</xdr:col>
      <xdr:colOff>373380</xdr:colOff>
      <xdr:row>4</xdr:row>
      <xdr:rowOff>68580</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04360" y="106680"/>
              <a:ext cx="328422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426720</xdr:colOff>
      <xdr:row>0</xdr:row>
      <xdr:rowOff>121920</xdr:rowOff>
    </xdr:from>
    <xdr:to>
      <xdr:col>18</xdr:col>
      <xdr:colOff>358140</xdr:colOff>
      <xdr:row>4</xdr:row>
      <xdr:rowOff>83820</xdr:rowOff>
    </xdr:to>
    <mc:AlternateContent xmlns:mc="http://schemas.openxmlformats.org/markup-compatibility/2006" xmlns:a14="http://schemas.microsoft.com/office/drawing/2010/main">
      <mc:Choice Requires="a14">
        <xdr:graphicFrame macro="">
          <xdr:nvGraphicFramePr>
            <xdr:cNvPr id="6"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7741920" y="121920"/>
              <a:ext cx="358902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441960</xdr:colOff>
      <xdr:row>0</xdr:row>
      <xdr:rowOff>137160</xdr:rowOff>
    </xdr:from>
    <xdr:to>
      <xdr:col>23</xdr:col>
      <xdr:colOff>106680</xdr:colOff>
      <xdr:row>4</xdr:row>
      <xdr:rowOff>76200</xdr:rowOff>
    </xdr:to>
    <mc:AlternateContent xmlns:mc="http://schemas.openxmlformats.org/markup-compatibility/2006" xmlns:a14="http://schemas.microsoft.com/office/drawing/2010/main">
      <mc:Choice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14760" y="137160"/>
              <a:ext cx="2712720" cy="67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21</xdr:row>
      <xdr:rowOff>99060</xdr:rowOff>
    </xdr:from>
    <xdr:to>
      <xdr:col>5</xdr:col>
      <xdr:colOff>426720</xdr:colOff>
      <xdr:row>29</xdr:row>
      <xdr:rowOff>7620</xdr:rowOff>
    </xdr:to>
    <mc:AlternateContent xmlns:mc="http://schemas.openxmlformats.org/markup-compatibility/2006" xmlns:tsle="http://schemas.microsoft.com/office/drawing/2012/timeslicer">
      <mc:Choice Requires="tsle">
        <xdr:graphicFrame macro="">
          <xdr:nvGraphicFramePr>
            <xdr:cNvPr id="12"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1440" y="3939540"/>
              <a:ext cx="338328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tomer_Transaction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Data"/>
      <sheetName val="Analysis"/>
      <sheetName val="Visualizations"/>
      <sheetName val="Dashboard"/>
      <sheetName val="Insights Report"/>
    </sheetNames>
    <sheetDataSet>
      <sheetData sheetId="0">
        <row r="2">
          <cell r="A2" t="str">
            <v>TRX0155</v>
          </cell>
          <cell r="C2" t="str">
            <v>CUST023</v>
          </cell>
          <cell r="N2">
            <v>749.97</v>
          </cell>
        </row>
        <row r="3">
          <cell r="A3" t="str">
            <v>TRX0023</v>
          </cell>
          <cell r="C3" t="str">
            <v>CUST013</v>
          </cell>
          <cell r="N3">
            <v>749.97</v>
          </cell>
        </row>
        <row r="4">
          <cell r="A4" t="str">
            <v>TRX0139</v>
          </cell>
          <cell r="C4" t="str">
            <v>CUST021</v>
          </cell>
          <cell r="N4">
            <v>179.97</v>
          </cell>
        </row>
        <row r="5">
          <cell r="A5" t="str">
            <v>TRX0043</v>
          </cell>
          <cell r="C5" t="str">
            <v>CUST046</v>
          </cell>
          <cell r="N5">
            <v>179.97</v>
          </cell>
        </row>
        <row r="6">
          <cell r="A6" t="str">
            <v>TRX0212</v>
          </cell>
          <cell r="C6" t="str">
            <v>CUST003</v>
          </cell>
          <cell r="N6">
            <v>749.95</v>
          </cell>
        </row>
        <row r="7">
          <cell r="A7" t="str">
            <v>TRX0092</v>
          </cell>
          <cell r="C7" t="str">
            <v>CUST024</v>
          </cell>
          <cell r="N7">
            <v>119.98</v>
          </cell>
        </row>
        <row r="8">
          <cell r="A8" t="str">
            <v>TRX0193</v>
          </cell>
          <cell r="C8" t="str">
            <v>CUST024</v>
          </cell>
          <cell r="N8">
            <v>749.95</v>
          </cell>
        </row>
        <row r="9">
          <cell r="A9" t="str">
            <v>TRX0240</v>
          </cell>
          <cell r="C9" t="str">
            <v>CUST017</v>
          </cell>
          <cell r="N9">
            <v>179.97</v>
          </cell>
        </row>
        <row r="10">
          <cell r="A10" t="str">
            <v>TRX0135</v>
          </cell>
          <cell r="C10" t="str">
            <v>CUST009</v>
          </cell>
          <cell r="N10">
            <v>2699.97</v>
          </cell>
        </row>
        <row r="11">
          <cell r="A11" t="str">
            <v>TRX0185</v>
          </cell>
          <cell r="C11" t="str">
            <v>CUST026</v>
          </cell>
          <cell r="N11">
            <v>179.97</v>
          </cell>
        </row>
        <row r="12">
          <cell r="A12" t="str">
            <v>TRX0138</v>
          </cell>
          <cell r="C12" t="str">
            <v>CUST022</v>
          </cell>
          <cell r="N12">
            <v>149.99</v>
          </cell>
        </row>
        <row r="13">
          <cell r="A13" t="str">
            <v>TRX0209</v>
          </cell>
          <cell r="C13" t="str">
            <v>CUST046</v>
          </cell>
          <cell r="N13">
            <v>749.95</v>
          </cell>
        </row>
        <row r="14">
          <cell r="A14" t="str">
            <v>TRX0246</v>
          </cell>
          <cell r="C14" t="str">
            <v>CUST041</v>
          </cell>
          <cell r="N14">
            <v>449.97</v>
          </cell>
        </row>
        <row r="15">
          <cell r="A15" t="str">
            <v>TRX0067</v>
          </cell>
          <cell r="C15" t="str">
            <v>CUST043</v>
          </cell>
          <cell r="N15">
            <v>179.97</v>
          </cell>
        </row>
        <row r="16">
          <cell r="A16" t="str">
            <v>TRX0191</v>
          </cell>
          <cell r="C16" t="str">
            <v>CUST038</v>
          </cell>
          <cell r="N16">
            <v>2099.9699999999998</v>
          </cell>
        </row>
        <row r="17">
          <cell r="A17" t="str">
            <v>TRX0230</v>
          </cell>
          <cell r="C17" t="str">
            <v>CUST027</v>
          </cell>
          <cell r="N17">
            <v>899.99</v>
          </cell>
        </row>
        <row r="18">
          <cell r="A18" t="str">
            <v>TRX0049</v>
          </cell>
          <cell r="C18" t="str">
            <v>CUST025</v>
          </cell>
          <cell r="N18">
            <v>599.96</v>
          </cell>
        </row>
        <row r="19">
          <cell r="A19" t="str">
            <v>TRX0134</v>
          </cell>
          <cell r="C19" t="str">
            <v>CUST010</v>
          </cell>
          <cell r="N19">
            <v>1399.98</v>
          </cell>
        </row>
        <row r="20">
          <cell r="A20" t="str">
            <v>TRX0122</v>
          </cell>
          <cell r="C20" t="str">
            <v>CUST025</v>
          </cell>
          <cell r="N20">
            <v>3599.96</v>
          </cell>
        </row>
        <row r="21">
          <cell r="A21" t="str">
            <v>TRX0222</v>
          </cell>
          <cell r="C21" t="str">
            <v>CUST048</v>
          </cell>
          <cell r="N21">
            <v>749.97</v>
          </cell>
        </row>
        <row r="22">
          <cell r="A22" t="str">
            <v>TRX0231</v>
          </cell>
          <cell r="C22" t="str">
            <v>CUST018</v>
          </cell>
          <cell r="N22">
            <v>3499.95</v>
          </cell>
        </row>
        <row r="23">
          <cell r="A23" t="str">
            <v>TRX0239</v>
          </cell>
          <cell r="C23" t="str">
            <v>CUST012</v>
          </cell>
          <cell r="N23">
            <v>2799.96</v>
          </cell>
        </row>
        <row r="24">
          <cell r="A24" t="str">
            <v>TRX0204</v>
          </cell>
          <cell r="C24" t="str">
            <v>CUST044</v>
          </cell>
          <cell r="N24">
            <v>999.96</v>
          </cell>
        </row>
        <row r="25">
          <cell r="A25" t="str">
            <v>TRX0242</v>
          </cell>
          <cell r="C25" t="str">
            <v>CUST025</v>
          </cell>
          <cell r="N25">
            <v>1199.96</v>
          </cell>
        </row>
        <row r="26">
          <cell r="A26" t="str">
            <v>TRX0071</v>
          </cell>
          <cell r="C26" t="str">
            <v>CUST036</v>
          </cell>
          <cell r="N26">
            <v>1249.95</v>
          </cell>
        </row>
        <row r="27">
          <cell r="A27" t="str">
            <v>TRX0040</v>
          </cell>
          <cell r="C27" t="str">
            <v>CUST022</v>
          </cell>
          <cell r="N27">
            <v>1499.95</v>
          </cell>
        </row>
        <row r="28">
          <cell r="A28" t="str">
            <v>TRX0235</v>
          </cell>
          <cell r="C28" t="str">
            <v>CUST014</v>
          </cell>
          <cell r="N28">
            <v>239.97</v>
          </cell>
        </row>
        <row r="29">
          <cell r="A29" t="str">
            <v>TRX0004</v>
          </cell>
          <cell r="C29" t="str">
            <v>CUST012</v>
          </cell>
          <cell r="N29">
            <v>449.95</v>
          </cell>
        </row>
        <row r="30">
          <cell r="A30" t="str">
            <v>TRX0063</v>
          </cell>
          <cell r="C30" t="str">
            <v>CUST030</v>
          </cell>
          <cell r="N30">
            <v>119.98</v>
          </cell>
        </row>
        <row r="31">
          <cell r="A31" t="str">
            <v>TRX0241</v>
          </cell>
          <cell r="C31" t="str">
            <v>CUST029</v>
          </cell>
          <cell r="N31">
            <v>239.96</v>
          </cell>
        </row>
        <row r="32">
          <cell r="A32" t="str">
            <v>TRX0029</v>
          </cell>
          <cell r="C32" t="str">
            <v>CUST017</v>
          </cell>
          <cell r="N32">
            <v>999.95</v>
          </cell>
        </row>
        <row r="33">
          <cell r="A33" t="str">
            <v>TRX0194</v>
          </cell>
          <cell r="C33" t="str">
            <v>CUST006</v>
          </cell>
          <cell r="N33">
            <v>299.98</v>
          </cell>
        </row>
        <row r="34">
          <cell r="A34" t="str">
            <v>TRX0130</v>
          </cell>
          <cell r="C34" t="str">
            <v>CUST002</v>
          </cell>
          <cell r="N34">
            <v>449.97</v>
          </cell>
        </row>
        <row r="35">
          <cell r="A35" t="str">
            <v>TRX0041</v>
          </cell>
          <cell r="C35" t="str">
            <v>CUST021</v>
          </cell>
          <cell r="N35">
            <v>899.99</v>
          </cell>
        </row>
        <row r="36">
          <cell r="A36" t="str">
            <v>TRX0232</v>
          </cell>
          <cell r="C36" t="str">
            <v>CUST012</v>
          </cell>
          <cell r="N36">
            <v>899.97</v>
          </cell>
        </row>
        <row r="37">
          <cell r="A37" t="str">
            <v>TRX0021</v>
          </cell>
          <cell r="C37" t="str">
            <v>CUST006</v>
          </cell>
          <cell r="N37">
            <v>239.97</v>
          </cell>
        </row>
        <row r="38">
          <cell r="A38" t="str">
            <v>TRX0245</v>
          </cell>
          <cell r="C38" t="str">
            <v>CUST031</v>
          </cell>
          <cell r="N38">
            <v>599.97</v>
          </cell>
        </row>
        <row r="39">
          <cell r="A39" t="str">
            <v>TRX0015</v>
          </cell>
          <cell r="C39" t="str">
            <v>CUST008</v>
          </cell>
          <cell r="N39">
            <v>3499.95</v>
          </cell>
        </row>
        <row r="40">
          <cell r="A40" t="str">
            <v>TRX0202</v>
          </cell>
          <cell r="C40" t="str">
            <v>CUST035</v>
          </cell>
          <cell r="N40">
            <v>269.97000000000003</v>
          </cell>
        </row>
        <row r="41">
          <cell r="A41" t="str">
            <v>TRX0042</v>
          </cell>
          <cell r="C41" t="str">
            <v>CUST019</v>
          </cell>
          <cell r="N41">
            <v>79.989999999999995</v>
          </cell>
        </row>
        <row r="42">
          <cell r="A42" t="str">
            <v>TRX0128</v>
          </cell>
          <cell r="C42" t="str">
            <v>CUST040</v>
          </cell>
          <cell r="N42">
            <v>119.98</v>
          </cell>
        </row>
        <row r="43">
          <cell r="A43" t="str">
            <v>TRX0117</v>
          </cell>
          <cell r="C43" t="str">
            <v>CUST017</v>
          </cell>
          <cell r="N43">
            <v>89.99</v>
          </cell>
        </row>
        <row r="44">
          <cell r="A44" t="str">
            <v>TRX0208</v>
          </cell>
          <cell r="C44" t="str">
            <v>CUST004</v>
          </cell>
          <cell r="N44">
            <v>449.95</v>
          </cell>
        </row>
        <row r="45">
          <cell r="A45" t="str">
            <v>TRX0234</v>
          </cell>
          <cell r="C45" t="str">
            <v>CUST013</v>
          </cell>
          <cell r="N45">
            <v>1249.95</v>
          </cell>
        </row>
        <row r="46">
          <cell r="A46" t="str">
            <v>TRX0121</v>
          </cell>
          <cell r="C46" t="str">
            <v>CUST028</v>
          </cell>
          <cell r="N46">
            <v>89.99</v>
          </cell>
        </row>
        <row r="47">
          <cell r="A47" t="str">
            <v>TRX0220</v>
          </cell>
          <cell r="C47" t="str">
            <v>CUST003</v>
          </cell>
          <cell r="N47">
            <v>299.98</v>
          </cell>
        </row>
        <row r="48">
          <cell r="A48" t="str">
            <v>TRX0093</v>
          </cell>
          <cell r="C48" t="str">
            <v>CUST050</v>
          </cell>
          <cell r="N48">
            <v>239.96</v>
          </cell>
        </row>
        <row r="49">
          <cell r="A49" t="str">
            <v>TRX0088</v>
          </cell>
          <cell r="C49" t="str">
            <v>CUST006</v>
          </cell>
          <cell r="N49">
            <v>449.95</v>
          </cell>
        </row>
        <row r="50">
          <cell r="A50" t="str">
            <v>TRX0115</v>
          </cell>
          <cell r="C50" t="str">
            <v>CUST012</v>
          </cell>
          <cell r="N50">
            <v>179.98</v>
          </cell>
        </row>
        <row r="51">
          <cell r="A51" t="str">
            <v>TRX0154</v>
          </cell>
          <cell r="C51" t="str">
            <v>CUST023</v>
          </cell>
          <cell r="N51">
            <v>4499.95</v>
          </cell>
        </row>
        <row r="52">
          <cell r="A52" t="str">
            <v>TRX0044</v>
          </cell>
          <cell r="C52" t="str">
            <v>CUST029</v>
          </cell>
          <cell r="N52">
            <v>4499.95</v>
          </cell>
        </row>
        <row r="53">
          <cell r="A53" t="str">
            <v>TRX0061</v>
          </cell>
          <cell r="C53" t="str">
            <v>CUST028</v>
          </cell>
          <cell r="N53">
            <v>59.99</v>
          </cell>
        </row>
        <row r="54">
          <cell r="A54" t="str">
            <v>TRX0150</v>
          </cell>
          <cell r="C54" t="str">
            <v>CUST008</v>
          </cell>
          <cell r="N54">
            <v>599.98</v>
          </cell>
        </row>
        <row r="55">
          <cell r="A55" t="str">
            <v>TRX0025</v>
          </cell>
          <cell r="C55" t="str">
            <v>CUST049</v>
          </cell>
          <cell r="N55">
            <v>359.96</v>
          </cell>
        </row>
        <row r="56">
          <cell r="A56" t="str">
            <v>TRX0078</v>
          </cell>
          <cell r="C56" t="str">
            <v>CUST021</v>
          </cell>
          <cell r="N56">
            <v>79.989999999999995</v>
          </cell>
        </row>
        <row r="57">
          <cell r="A57" t="str">
            <v>TRX0007</v>
          </cell>
          <cell r="C57" t="str">
            <v>CUST009</v>
          </cell>
          <cell r="N57">
            <v>179.98</v>
          </cell>
        </row>
        <row r="58">
          <cell r="A58" t="str">
            <v>TRX0184</v>
          </cell>
          <cell r="C58" t="str">
            <v>CUST046</v>
          </cell>
          <cell r="N58">
            <v>2099.9699999999998</v>
          </cell>
        </row>
        <row r="59">
          <cell r="A59" t="str">
            <v>TRX0104</v>
          </cell>
          <cell r="C59" t="str">
            <v>CUST012</v>
          </cell>
          <cell r="N59">
            <v>3599.96</v>
          </cell>
        </row>
        <row r="60">
          <cell r="A60" t="str">
            <v>TRX0127</v>
          </cell>
          <cell r="C60" t="str">
            <v>CUST030</v>
          </cell>
          <cell r="N60">
            <v>149.99</v>
          </cell>
        </row>
        <row r="61">
          <cell r="A61" t="str">
            <v>TRX0096</v>
          </cell>
          <cell r="C61" t="str">
            <v>CUST002</v>
          </cell>
          <cell r="N61">
            <v>179.98</v>
          </cell>
        </row>
        <row r="62">
          <cell r="A62" t="str">
            <v>TRX0192</v>
          </cell>
          <cell r="C62" t="str">
            <v>CUST017</v>
          </cell>
          <cell r="N62">
            <v>89.99</v>
          </cell>
        </row>
        <row r="63">
          <cell r="A63" t="str">
            <v>TRX0052</v>
          </cell>
          <cell r="C63" t="str">
            <v>CUST022</v>
          </cell>
          <cell r="N63">
            <v>89.99</v>
          </cell>
        </row>
        <row r="64">
          <cell r="A64" t="str">
            <v>TRX0070</v>
          </cell>
          <cell r="C64" t="str">
            <v>CUST007</v>
          </cell>
          <cell r="N64">
            <v>399.95</v>
          </cell>
        </row>
        <row r="65">
          <cell r="A65" t="str">
            <v>TRX0086</v>
          </cell>
          <cell r="C65" t="str">
            <v>CUST020</v>
          </cell>
          <cell r="N65">
            <v>149.99</v>
          </cell>
        </row>
        <row r="66">
          <cell r="A66" t="str">
            <v>TRX0113</v>
          </cell>
          <cell r="C66" t="str">
            <v>CUST003</v>
          </cell>
          <cell r="N66">
            <v>1399.98</v>
          </cell>
        </row>
        <row r="67">
          <cell r="A67" t="str">
            <v>TRX0114</v>
          </cell>
          <cell r="C67" t="str">
            <v>CUST018</v>
          </cell>
          <cell r="N67">
            <v>449.95</v>
          </cell>
        </row>
        <row r="68">
          <cell r="A68" t="str">
            <v>TRX0136</v>
          </cell>
          <cell r="C68" t="str">
            <v>CUST049</v>
          </cell>
          <cell r="N68">
            <v>239.96</v>
          </cell>
        </row>
        <row r="69">
          <cell r="A69" t="str">
            <v>TRX0018</v>
          </cell>
          <cell r="C69" t="str">
            <v>CUST013</v>
          </cell>
          <cell r="N69">
            <v>149.99</v>
          </cell>
        </row>
        <row r="70">
          <cell r="A70" t="str">
            <v>TRX0141</v>
          </cell>
          <cell r="C70" t="str">
            <v>CUST033</v>
          </cell>
          <cell r="N70">
            <v>299.99</v>
          </cell>
        </row>
        <row r="71">
          <cell r="A71" t="str">
            <v>TRX0097</v>
          </cell>
          <cell r="C71" t="str">
            <v>CUST033</v>
          </cell>
          <cell r="N71">
            <v>399.98</v>
          </cell>
        </row>
        <row r="72">
          <cell r="A72" t="str">
            <v>TRX0169</v>
          </cell>
          <cell r="C72" t="str">
            <v>CUST047</v>
          </cell>
          <cell r="N72">
            <v>179.97</v>
          </cell>
        </row>
        <row r="73">
          <cell r="A73" t="str">
            <v>TRX0216</v>
          </cell>
          <cell r="C73" t="str">
            <v>CUST041</v>
          </cell>
          <cell r="N73">
            <v>449.97</v>
          </cell>
        </row>
        <row r="74">
          <cell r="A74" t="str">
            <v>TRX0131</v>
          </cell>
          <cell r="C74" t="str">
            <v>CUST026</v>
          </cell>
          <cell r="N74">
            <v>599.97</v>
          </cell>
        </row>
        <row r="75">
          <cell r="A75" t="str">
            <v>TRX0162</v>
          </cell>
          <cell r="C75" t="str">
            <v>CUST040</v>
          </cell>
          <cell r="N75">
            <v>899.99</v>
          </cell>
        </row>
        <row r="76">
          <cell r="A76" t="str">
            <v>TRX0244</v>
          </cell>
          <cell r="C76" t="str">
            <v>CUST013</v>
          </cell>
          <cell r="N76">
            <v>4499.95</v>
          </cell>
        </row>
        <row r="77">
          <cell r="A77" t="str">
            <v>TRX0006</v>
          </cell>
          <cell r="C77" t="str">
            <v>CUST007</v>
          </cell>
          <cell r="N77">
            <v>119.98</v>
          </cell>
        </row>
        <row r="78">
          <cell r="A78" t="str">
            <v>TRX0215</v>
          </cell>
          <cell r="C78" t="str">
            <v>CUST047</v>
          </cell>
          <cell r="N78">
            <v>999.96</v>
          </cell>
        </row>
        <row r="79">
          <cell r="A79" t="str">
            <v>TRX0080</v>
          </cell>
          <cell r="C79" t="str">
            <v>CUST018</v>
          </cell>
          <cell r="N79">
            <v>499.98</v>
          </cell>
        </row>
        <row r="80">
          <cell r="A80" t="str">
            <v>TRX0228</v>
          </cell>
          <cell r="C80" t="str">
            <v>CUST019</v>
          </cell>
          <cell r="N80">
            <v>299.99</v>
          </cell>
        </row>
        <row r="81">
          <cell r="A81" t="str">
            <v>TRX0157</v>
          </cell>
          <cell r="C81" t="str">
            <v>CUST025</v>
          </cell>
          <cell r="N81">
            <v>179.98</v>
          </cell>
        </row>
        <row r="82">
          <cell r="A82" t="str">
            <v>TRX0002</v>
          </cell>
          <cell r="C82" t="str">
            <v>CUST019</v>
          </cell>
          <cell r="N82">
            <v>899.97</v>
          </cell>
        </row>
        <row r="83">
          <cell r="A83" t="str">
            <v>TRX0217</v>
          </cell>
          <cell r="C83" t="str">
            <v>CUST025</v>
          </cell>
          <cell r="N83">
            <v>1399.98</v>
          </cell>
        </row>
        <row r="84">
          <cell r="A84" t="str">
            <v>TRX0249</v>
          </cell>
          <cell r="C84" t="str">
            <v>CUST030</v>
          </cell>
          <cell r="N84">
            <v>3599.96</v>
          </cell>
        </row>
        <row r="85">
          <cell r="A85" t="str">
            <v>TRX0065</v>
          </cell>
          <cell r="C85" t="str">
            <v>CUST016</v>
          </cell>
          <cell r="N85">
            <v>299.98</v>
          </cell>
        </row>
        <row r="86">
          <cell r="A86" t="str">
            <v>TRX0176</v>
          </cell>
          <cell r="C86" t="str">
            <v>CUST044</v>
          </cell>
          <cell r="N86">
            <v>299.98</v>
          </cell>
        </row>
        <row r="87">
          <cell r="A87" t="str">
            <v>TRX0101</v>
          </cell>
          <cell r="C87" t="str">
            <v>CUST010</v>
          </cell>
          <cell r="N87">
            <v>89.99</v>
          </cell>
        </row>
        <row r="88">
          <cell r="A88" t="str">
            <v>TRX0205</v>
          </cell>
          <cell r="C88" t="str">
            <v>CUST025</v>
          </cell>
          <cell r="N88">
            <v>1499.95</v>
          </cell>
        </row>
        <row r="89">
          <cell r="A89" t="str">
            <v>TRX0020</v>
          </cell>
          <cell r="C89" t="str">
            <v>CUST007</v>
          </cell>
          <cell r="N89">
            <v>599.96</v>
          </cell>
        </row>
        <row r="90">
          <cell r="A90" t="str">
            <v>TRX0075</v>
          </cell>
          <cell r="C90" t="str">
            <v>CUST020</v>
          </cell>
          <cell r="N90">
            <v>1249.95</v>
          </cell>
        </row>
        <row r="91">
          <cell r="A91" t="str">
            <v>TRX0098</v>
          </cell>
          <cell r="C91" t="str">
            <v>CUST026</v>
          </cell>
          <cell r="N91">
            <v>749.97</v>
          </cell>
        </row>
        <row r="92">
          <cell r="A92" t="str">
            <v>TRX0247</v>
          </cell>
          <cell r="C92" t="str">
            <v>CUST046</v>
          </cell>
          <cell r="N92">
            <v>799.96</v>
          </cell>
        </row>
        <row r="93">
          <cell r="A93" t="str">
            <v>TRX0027</v>
          </cell>
          <cell r="C93" t="str">
            <v>CUST028</v>
          </cell>
          <cell r="N93">
            <v>999.95</v>
          </cell>
        </row>
        <row r="94">
          <cell r="A94" t="str">
            <v>TRX0140</v>
          </cell>
          <cell r="C94" t="str">
            <v>CUST025</v>
          </cell>
          <cell r="N94">
            <v>179.98</v>
          </cell>
        </row>
        <row r="95">
          <cell r="A95" t="str">
            <v>TRX0132</v>
          </cell>
          <cell r="C95" t="str">
            <v>CUST047</v>
          </cell>
          <cell r="N95">
            <v>4499.95</v>
          </cell>
        </row>
        <row r="96">
          <cell r="A96" t="str">
            <v>TRX0031</v>
          </cell>
          <cell r="C96" t="str">
            <v>CUST036</v>
          </cell>
          <cell r="N96">
            <v>449.97</v>
          </cell>
        </row>
        <row r="97">
          <cell r="A97" t="str">
            <v>TRX0236</v>
          </cell>
          <cell r="C97" t="str">
            <v>CUST044</v>
          </cell>
          <cell r="N97">
            <v>749.95</v>
          </cell>
        </row>
        <row r="98">
          <cell r="A98" t="str">
            <v>TRX0001</v>
          </cell>
          <cell r="C98" t="str">
            <v>CUST039</v>
          </cell>
          <cell r="N98">
            <v>239.97</v>
          </cell>
        </row>
        <row r="99">
          <cell r="A99" t="str">
            <v>TRX0037</v>
          </cell>
          <cell r="C99" t="str">
            <v>CUST035</v>
          </cell>
          <cell r="N99">
            <v>499.98</v>
          </cell>
        </row>
        <row r="100">
          <cell r="A100" t="str">
            <v>TRX0058</v>
          </cell>
          <cell r="C100" t="str">
            <v>CUST047</v>
          </cell>
          <cell r="N100">
            <v>699.99</v>
          </cell>
        </row>
        <row r="101">
          <cell r="A101" t="str">
            <v>TRX0170</v>
          </cell>
          <cell r="C101" t="str">
            <v>CUST034</v>
          </cell>
          <cell r="N101">
            <v>449.97</v>
          </cell>
        </row>
        <row r="102">
          <cell r="A102" t="str">
            <v>TRX0248</v>
          </cell>
          <cell r="C102" t="str">
            <v>CUST032</v>
          </cell>
          <cell r="N102">
            <v>1399.98</v>
          </cell>
        </row>
        <row r="103">
          <cell r="A103" t="str">
            <v>TRX0099</v>
          </cell>
          <cell r="C103" t="str">
            <v>CUST034</v>
          </cell>
          <cell r="N103">
            <v>249.99</v>
          </cell>
        </row>
        <row r="104">
          <cell r="A104" t="str">
            <v>TRX0074</v>
          </cell>
          <cell r="C104" t="str">
            <v>CUST023</v>
          </cell>
          <cell r="N104">
            <v>249.99</v>
          </cell>
        </row>
        <row r="105">
          <cell r="A105" t="str">
            <v>TRX0225</v>
          </cell>
          <cell r="C105" t="str">
            <v>CUST039</v>
          </cell>
          <cell r="N105">
            <v>1399.98</v>
          </cell>
        </row>
        <row r="106">
          <cell r="A106" t="str">
            <v>TRX0100</v>
          </cell>
          <cell r="C106" t="str">
            <v>CUST031</v>
          </cell>
          <cell r="N106">
            <v>179.97</v>
          </cell>
        </row>
        <row r="107">
          <cell r="A107" t="str">
            <v>TRX0142</v>
          </cell>
          <cell r="C107" t="str">
            <v>CUST002</v>
          </cell>
          <cell r="N107">
            <v>179.97</v>
          </cell>
        </row>
        <row r="108">
          <cell r="A108" t="str">
            <v>TRX0112</v>
          </cell>
          <cell r="C108" t="str">
            <v>CUST008</v>
          </cell>
          <cell r="N108">
            <v>319.95999999999998</v>
          </cell>
        </row>
        <row r="109">
          <cell r="A109" t="str">
            <v>TRX0161</v>
          </cell>
          <cell r="C109" t="str">
            <v>CUST017</v>
          </cell>
          <cell r="N109">
            <v>79.989999999999995</v>
          </cell>
        </row>
        <row r="110">
          <cell r="A110" t="str">
            <v>TRX0108</v>
          </cell>
          <cell r="C110" t="str">
            <v>CUST024</v>
          </cell>
          <cell r="N110">
            <v>899.97</v>
          </cell>
        </row>
        <row r="111">
          <cell r="A111" t="str">
            <v>TRX0211</v>
          </cell>
          <cell r="C111" t="str">
            <v>CUST046</v>
          </cell>
          <cell r="N111">
            <v>179.98</v>
          </cell>
        </row>
        <row r="112">
          <cell r="A112" t="str">
            <v>TRX0005</v>
          </cell>
          <cell r="C112" t="str">
            <v>CUST042</v>
          </cell>
          <cell r="N112">
            <v>599.96</v>
          </cell>
        </row>
        <row r="113">
          <cell r="A113" t="str">
            <v>TRX0195</v>
          </cell>
          <cell r="C113" t="str">
            <v>CUST026</v>
          </cell>
          <cell r="N113">
            <v>499.98</v>
          </cell>
        </row>
        <row r="114">
          <cell r="A114" t="str">
            <v>TRX0054</v>
          </cell>
          <cell r="C114" t="str">
            <v>CUST004</v>
          </cell>
          <cell r="N114">
            <v>799.96</v>
          </cell>
        </row>
        <row r="115">
          <cell r="A115" t="str">
            <v>TRX0077</v>
          </cell>
          <cell r="C115" t="str">
            <v>CUST019</v>
          </cell>
          <cell r="N115">
            <v>449.95</v>
          </cell>
        </row>
        <row r="116">
          <cell r="A116" t="str">
            <v>TRX0111</v>
          </cell>
          <cell r="C116" t="str">
            <v>CUST011</v>
          </cell>
          <cell r="N116">
            <v>149.99</v>
          </cell>
        </row>
        <row r="117">
          <cell r="A117" t="str">
            <v>TRX0123</v>
          </cell>
          <cell r="C117" t="str">
            <v>CUST041</v>
          </cell>
          <cell r="N117">
            <v>2799.96</v>
          </cell>
        </row>
        <row r="118">
          <cell r="A118" t="str">
            <v>TRX0177</v>
          </cell>
          <cell r="C118" t="str">
            <v>CUST032</v>
          </cell>
          <cell r="N118">
            <v>2699.97</v>
          </cell>
        </row>
        <row r="119">
          <cell r="A119" t="str">
            <v>TRX0119</v>
          </cell>
          <cell r="C119" t="str">
            <v>CUST014</v>
          </cell>
          <cell r="N119">
            <v>449.97</v>
          </cell>
        </row>
        <row r="120">
          <cell r="A120" t="str">
            <v>TRX0181</v>
          </cell>
          <cell r="C120" t="str">
            <v>CUST012</v>
          </cell>
          <cell r="N120">
            <v>599.98</v>
          </cell>
        </row>
        <row r="121">
          <cell r="A121" t="str">
            <v>TRX0129</v>
          </cell>
          <cell r="C121" t="str">
            <v>CUST015</v>
          </cell>
          <cell r="N121">
            <v>199.99</v>
          </cell>
        </row>
        <row r="122">
          <cell r="A122" t="str">
            <v>TRX0174</v>
          </cell>
          <cell r="C122" t="str">
            <v>CUST003</v>
          </cell>
          <cell r="N122">
            <v>1199.96</v>
          </cell>
        </row>
        <row r="123">
          <cell r="A123" t="str">
            <v>TRX0146</v>
          </cell>
          <cell r="C123" t="str">
            <v>CUST010</v>
          </cell>
          <cell r="N123">
            <v>119.98</v>
          </cell>
        </row>
        <row r="124">
          <cell r="A124" t="str">
            <v>TRX0203</v>
          </cell>
          <cell r="C124" t="str">
            <v>CUST032</v>
          </cell>
          <cell r="N124">
            <v>599.96</v>
          </cell>
        </row>
        <row r="125">
          <cell r="A125" t="str">
            <v>TRX0055</v>
          </cell>
          <cell r="C125" t="str">
            <v>CUST016</v>
          </cell>
          <cell r="N125">
            <v>1399.98</v>
          </cell>
        </row>
        <row r="126">
          <cell r="A126" t="str">
            <v>TRX0218</v>
          </cell>
          <cell r="C126" t="str">
            <v>CUST034</v>
          </cell>
          <cell r="N126">
            <v>449.97</v>
          </cell>
        </row>
        <row r="127">
          <cell r="A127" t="str">
            <v>TRX0085</v>
          </cell>
          <cell r="C127" t="str">
            <v>CUST019</v>
          </cell>
          <cell r="N127">
            <v>899.97</v>
          </cell>
        </row>
        <row r="128">
          <cell r="A128" t="str">
            <v>TRX0158</v>
          </cell>
          <cell r="C128" t="str">
            <v>CUST027</v>
          </cell>
          <cell r="N128">
            <v>2699.97</v>
          </cell>
        </row>
        <row r="129">
          <cell r="A129" t="str">
            <v>TRX0173</v>
          </cell>
          <cell r="C129" t="str">
            <v>CUST018</v>
          </cell>
          <cell r="N129">
            <v>3499.95</v>
          </cell>
        </row>
        <row r="130">
          <cell r="A130" t="str">
            <v>TRX0034</v>
          </cell>
          <cell r="C130" t="str">
            <v>CUST049</v>
          </cell>
          <cell r="N130">
            <v>2799.96</v>
          </cell>
        </row>
        <row r="131">
          <cell r="A131" t="str">
            <v>TRX0189</v>
          </cell>
          <cell r="C131" t="str">
            <v>CUST040</v>
          </cell>
          <cell r="N131">
            <v>899.99</v>
          </cell>
        </row>
        <row r="132">
          <cell r="A132" t="str">
            <v>TRX0190</v>
          </cell>
          <cell r="C132" t="str">
            <v>CUST039</v>
          </cell>
          <cell r="N132">
            <v>299.98</v>
          </cell>
        </row>
        <row r="133">
          <cell r="A133" t="str">
            <v>TRX0079</v>
          </cell>
          <cell r="C133" t="str">
            <v>CUST039</v>
          </cell>
          <cell r="N133">
            <v>269.97000000000003</v>
          </cell>
        </row>
        <row r="134">
          <cell r="A134" t="str">
            <v>TRX0095</v>
          </cell>
          <cell r="C134" t="str">
            <v>CUST046</v>
          </cell>
          <cell r="N134">
            <v>299.98</v>
          </cell>
        </row>
        <row r="135">
          <cell r="A135" t="str">
            <v>TRX0009</v>
          </cell>
          <cell r="C135" t="str">
            <v>CUST004</v>
          </cell>
          <cell r="N135">
            <v>1399.98</v>
          </cell>
        </row>
        <row r="136">
          <cell r="A136" t="str">
            <v>TRX0167</v>
          </cell>
          <cell r="C136" t="str">
            <v>CUST028</v>
          </cell>
          <cell r="N136">
            <v>3499.95</v>
          </cell>
        </row>
        <row r="137">
          <cell r="A137" t="str">
            <v>TRX0153</v>
          </cell>
          <cell r="C137" t="str">
            <v>CUST049</v>
          </cell>
          <cell r="N137">
            <v>269.97000000000003</v>
          </cell>
        </row>
        <row r="138">
          <cell r="A138" t="str">
            <v>TRX0057</v>
          </cell>
          <cell r="C138" t="str">
            <v>CUST023</v>
          </cell>
          <cell r="N138">
            <v>1249.95</v>
          </cell>
        </row>
        <row r="139">
          <cell r="A139" t="str">
            <v>TRX0017</v>
          </cell>
          <cell r="C139" t="str">
            <v>CUST026</v>
          </cell>
          <cell r="N139">
            <v>899.97</v>
          </cell>
        </row>
        <row r="140">
          <cell r="A140" t="str">
            <v>TRX0060</v>
          </cell>
          <cell r="C140" t="str">
            <v>CUST012</v>
          </cell>
          <cell r="N140">
            <v>269.97000000000003</v>
          </cell>
        </row>
        <row r="141">
          <cell r="A141" t="str">
            <v>TRX0109</v>
          </cell>
          <cell r="C141" t="str">
            <v>CUST010</v>
          </cell>
          <cell r="N141">
            <v>299.98</v>
          </cell>
        </row>
        <row r="142">
          <cell r="A142" t="str">
            <v>TRX0090</v>
          </cell>
          <cell r="C142" t="str">
            <v>CUST020</v>
          </cell>
          <cell r="N142">
            <v>249.99</v>
          </cell>
        </row>
        <row r="143">
          <cell r="A143" t="str">
            <v>TRX0035</v>
          </cell>
          <cell r="C143" t="str">
            <v>CUST041</v>
          </cell>
          <cell r="N143">
            <v>449.97</v>
          </cell>
        </row>
        <row r="144">
          <cell r="A144" t="str">
            <v>TRX0172</v>
          </cell>
          <cell r="C144" t="str">
            <v>CUST023</v>
          </cell>
          <cell r="N144">
            <v>299.95</v>
          </cell>
        </row>
        <row r="145">
          <cell r="A145" t="str">
            <v>TRX0076</v>
          </cell>
          <cell r="C145" t="str">
            <v>CUST012</v>
          </cell>
          <cell r="N145">
            <v>999.96</v>
          </cell>
        </row>
        <row r="146">
          <cell r="A146" t="str">
            <v>TRX0210</v>
          </cell>
          <cell r="C146" t="str">
            <v>CUST004</v>
          </cell>
          <cell r="N146">
            <v>749.95</v>
          </cell>
        </row>
        <row r="147">
          <cell r="A147" t="str">
            <v>TRX0149</v>
          </cell>
          <cell r="C147" t="str">
            <v>CUST027</v>
          </cell>
          <cell r="N147">
            <v>179.97</v>
          </cell>
        </row>
        <row r="148">
          <cell r="A148" t="str">
            <v>TRX0073</v>
          </cell>
          <cell r="C148" t="str">
            <v>CUST032</v>
          </cell>
          <cell r="N148">
            <v>749.95</v>
          </cell>
        </row>
        <row r="149">
          <cell r="A149" t="str">
            <v>TRX0033</v>
          </cell>
          <cell r="C149" t="str">
            <v>CUST025</v>
          </cell>
          <cell r="N149">
            <v>1399.98</v>
          </cell>
        </row>
        <row r="150">
          <cell r="A150" t="str">
            <v>TRX0160</v>
          </cell>
          <cell r="C150" t="str">
            <v>CUST029</v>
          </cell>
          <cell r="N150">
            <v>799.96</v>
          </cell>
        </row>
        <row r="151">
          <cell r="A151" t="str">
            <v>TRX0145</v>
          </cell>
          <cell r="C151" t="str">
            <v>CUST033</v>
          </cell>
          <cell r="N151">
            <v>59.99</v>
          </cell>
        </row>
        <row r="152">
          <cell r="A152" t="str">
            <v>TRX0148</v>
          </cell>
          <cell r="C152" t="str">
            <v>CUST004</v>
          </cell>
          <cell r="N152">
            <v>2099.9699999999998</v>
          </cell>
        </row>
        <row r="153">
          <cell r="A153" t="str">
            <v>TRX0012</v>
          </cell>
          <cell r="C153" t="str">
            <v>CUST045</v>
          </cell>
          <cell r="N153">
            <v>1249.95</v>
          </cell>
        </row>
        <row r="154">
          <cell r="A154" t="str">
            <v>TRX0206</v>
          </cell>
          <cell r="C154" t="str">
            <v>CUST014</v>
          </cell>
          <cell r="N154">
            <v>299.98</v>
          </cell>
        </row>
        <row r="155">
          <cell r="A155" t="str">
            <v>TRX0045</v>
          </cell>
          <cell r="C155" t="str">
            <v>CUST021</v>
          </cell>
          <cell r="N155">
            <v>899.97</v>
          </cell>
        </row>
        <row r="156">
          <cell r="A156" t="str">
            <v>TRX0094</v>
          </cell>
          <cell r="C156" t="str">
            <v>CUST017</v>
          </cell>
          <cell r="N156">
            <v>1249.95</v>
          </cell>
        </row>
        <row r="157">
          <cell r="A157" t="str">
            <v>TRX0133</v>
          </cell>
          <cell r="C157" t="str">
            <v>CUST013</v>
          </cell>
          <cell r="N157">
            <v>299.98</v>
          </cell>
        </row>
        <row r="158">
          <cell r="A158" t="str">
            <v>TRX0201</v>
          </cell>
          <cell r="C158" t="str">
            <v>CUST025</v>
          </cell>
          <cell r="N158">
            <v>3499.95</v>
          </cell>
        </row>
        <row r="159">
          <cell r="A159" t="str">
            <v>TRX0137</v>
          </cell>
          <cell r="C159" t="str">
            <v>CUST011</v>
          </cell>
          <cell r="N159">
            <v>999.96</v>
          </cell>
        </row>
        <row r="160">
          <cell r="A160" t="str">
            <v>TRX0066</v>
          </cell>
          <cell r="C160" t="str">
            <v>CUST024</v>
          </cell>
          <cell r="N160">
            <v>2799.96</v>
          </cell>
        </row>
        <row r="161">
          <cell r="A161" t="str">
            <v>TRX0180</v>
          </cell>
          <cell r="C161" t="str">
            <v>CUST036</v>
          </cell>
          <cell r="N161">
            <v>499.98</v>
          </cell>
        </row>
        <row r="162">
          <cell r="A162" t="str">
            <v>TRX0082</v>
          </cell>
          <cell r="C162" t="str">
            <v>CUST005</v>
          </cell>
          <cell r="N162">
            <v>179.97</v>
          </cell>
        </row>
        <row r="163">
          <cell r="A163" t="str">
            <v>TRX0036</v>
          </cell>
          <cell r="C163" t="str">
            <v>CUST008</v>
          </cell>
          <cell r="N163">
            <v>319.95999999999998</v>
          </cell>
        </row>
        <row r="164">
          <cell r="A164" t="str">
            <v>TRX0198</v>
          </cell>
          <cell r="C164" t="str">
            <v>CUST030</v>
          </cell>
          <cell r="N164">
            <v>239.97</v>
          </cell>
        </row>
        <row r="165">
          <cell r="A165" t="str">
            <v>TRX0032</v>
          </cell>
          <cell r="C165" t="str">
            <v>CUST041</v>
          </cell>
          <cell r="N165">
            <v>1799.98</v>
          </cell>
        </row>
        <row r="166">
          <cell r="A166" t="str">
            <v>TRX0081</v>
          </cell>
          <cell r="C166" t="str">
            <v>CUST007</v>
          </cell>
          <cell r="N166">
            <v>149.99</v>
          </cell>
        </row>
        <row r="167">
          <cell r="A167" t="str">
            <v>TRX0224</v>
          </cell>
          <cell r="C167" t="str">
            <v>CUST031</v>
          </cell>
          <cell r="N167">
            <v>599.98</v>
          </cell>
        </row>
        <row r="168">
          <cell r="A168" t="str">
            <v>TRX0028</v>
          </cell>
          <cell r="C168" t="str">
            <v>CUST002</v>
          </cell>
          <cell r="N168">
            <v>119.98</v>
          </cell>
        </row>
        <row r="169">
          <cell r="A169" t="str">
            <v>TRX0183</v>
          </cell>
          <cell r="C169" t="str">
            <v>CUST007</v>
          </cell>
          <cell r="N169">
            <v>89.99</v>
          </cell>
        </row>
        <row r="170">
          <cell r="A170" t="str">
            <v>TRX0163</v>
          </cell>
          <cell r="C170" t="str">
            <v>CUST019</v>
          </cell>
          <cell r="N170">
            <v>4499.95</v>
          </cell>
        </row>
        <row r="171">
          <cell r="A171" t="str">
            <v>TRX0046</v>
          </cell>
          <cell r="C171" t="str">
            <v>CUST003</v>
          </cell>
          <cell r="N171">
            <v>299.98</v>
          </cell>
        </row>
        <row r="172">
          <cell r="A172" t="str">
            <v>TRX0164</v>
          </cell>
          <cell r="C172" t="str">
            <v>CUST014</v>
          </cell>
          <cell r="N172">
            <v>299.98</v>
          </cell>
        </row>
        <row r="173">
          <cell r="A173" t="str">
            <v>TRX0008</v>
          </cell>
          <cell r="C173" t="str">
            <v>CUST007</v>
          </cell>
          <cell r="N173">
            <v>449.97</v>
          </cell>
        </row>
        <row r="174">
          <cell r="A174" t="str">
            <v>TRX0171</v>
          </cell>
          <cell r="C174" t="str">
            <v>CUST021</v>
          </cell>
          <cell r="N174">
            <v>599.98</v>
          </cell>
        </row>
        <row r="175">
          <cell r="A175" t="str">
            <v>TRX0143</v>
          </cell>
          <cell r="C175" t="str">
            <v>CUST003</v>
          </cell>
          <cell r="N175">
            <v>599.98</v>
          </cell>
        </row>
        <row r="176">
          <cell r="A176" t="str">
            <v>TRX0165</v>
          </cell>
          <cell r="C176" t="str">
            <v>CUST030</v>
          </cell>
          <cell r="N176">
            <v>799.96</v>
          </cell>
        </row>
        <row r="177">
          <cell r="A177" t="str">
            <v>TRX0156</v>
          </cell>
          <cell r="C177" t="str">
            <v>CUST009</v>
          </cell>
          <cell r="N177">
            <v>89.99</v>
          </cell>
        </row>
        <row r="178">
          <cell r="A178" t="str">
            <v>TRX0147</v>
          </cell>
          <cell r="C178" t="str">
            <v>CUST036</v>
          </cell>
          <cell r="N178">
            <v>749.95</v>
          </cell>
        </row>
        <row r="179">
          <cell r="A179" t="str">
            <v>TRX0207</v>
          </cell>
          <cell r="C179" t="str">
            <v>CUST025</v>
          </cell>
          <cell r="N179">
            <v>899.99</v>
          </cell>
        </row>
        <row r="180">
          <cell r="A180" t="str">
            <v>TRX0056</v>
          </cell>
          <cell r="C180" t="str">
            <v>CUST019</v>
          </cell>
          <cell r="N180">
            <v>179.98</v>
          </cell>
        </row>
        <row r="181">
          <cell r="A181" t="str">
            <v>TRX0026</v>
          </cell>
          <cell r="C181" t="str">
            <v>CUST037</v>
          </cell>
          <cell r="N181">
            <v>899.99</v>
          </cell>
        </row>
        <row r="182">
          <cell r="A182" t="str">
            <v>TRX0237</v>
          </cell>
          <cell r="C182" t="str">
            <v>CUST006</v>
          </cell>
          <cell r="N182">
            <v>749.95</v>
          </cell>
        </row>
        <row r="183">
          <cell r="A183" t="str">
            <v>TRX0091</v>
          </cell>
          <cell r="C183" t="str">
            <v>CUST003</v>
          </cell>
          <cell r="N183">
            <v>899.97</v>
          </cell>
        </row>
        <row r="184">
          <cell r="A184" t="str">
            <v>TRX0125</v>
          </cell>
          <cell r="C184" t="str">
            <v>CUST026</v>
          </cell>
          <cell r="N184">
            <v>2099.9699999999998</v>
          </cell>
        </row>
        <row r="185">
          <cell r="A185" t="str">
            <v>TRX0223</v>
          </cell>
          <cell r="C185" t="str">
            <v>CUST036</v>
          </cell>
          <cell r="N185">
            <v>999.95</v>
          </cell>
        </row>
        <row r="186">
          <cell r="A186" t="str">
            <v>TRX0243</v>
          </cell>
          <cell r="C186" t="str">
            <v>CUST048</v>
          </cell>
          <cell r="N186">
            <v>1249.95</v>
          </cell>
        </row>
        <row r="187">
          <cell r="A187" t="str">
            <v>TRX0084</v>
          </cell>
          <cell r="C187" t="str">
            <v>CUST031</v>
          </cell>
          <cell r="N187">
            <v>599.96</v>
          </cell>
        </row>
        <row r="188">
          <cell r="A188" t="str">
            <v>TRX0238</v>
          </cell>
          <cell r="C188" t="str">
            <v>CUST038</v>
          </cell>
          <cell r="N188">
            <v>2099.9699999999998</v>
          </cell>
        </row>
        <row r="189">
          <cell r="A189" t="str">
            <v>TRX0102</v>
          </cell>
          <cell r="C189" t="str">
            <v>CUST045</v>
          </cell>
          <cell r="N189">
            <v>79.989999999999995</v>
          </cell>
        </row>
        <row r="190">
          <cell r="A190" t="str">
            <v>TRX0022</v>
          </cell>
          <cell r="C190" t="str">
            <v>CUST025</v>
          </cell>
          <cell r="N190">
            <v>299.99</v>
          </cell>
        </row>
        <row r="191">
          <cell r="A191" t="str">
            <v>TRX0087</v>
          </cell>
          <cell r="C191" t="str">
            <v>CUST028</v>
          </cell>
          <cell r="N191">
            <v>999.96</v>
          </cell>
        </row>
        <row r="192">
          <cell r="A192" t="str">
            <v>TRX0107</v>
          </cell>
          <cell r="C192" t="str">
            <v>CUST030</v>
          </cell>
          <cell r="N192">
            <v>299.98</v>
          </cell>
        </row>
        <row r="193">
          <cell r="A193" t="str">
            <v>TRX0051</v>
          </cell>
          <cell r="C193" t="str">
            <v>CUST032</v>
          </cell>
          <cell r="N193">
            <v>899.97</v>
          </cell>
        </row>
        <row r="194">
          <cell r="A194" t="str">
            <v>TRX0106</v>
          </cell>
          <cell r="C194" t="str">
            <v>CUST039</v>
          </cell>
          <cell r="N194">
            <v>799.96</v>
          </cell>
        </row>
        <row r="195">
          <cell r="A195" t="str">
            <v>TRX0059</v>
          </cell>
          <cell r="C195" t="str">
            <v>CUST016</v>
          </cell>
          <cell r="N195">
            <v>1499.95</v>
          </cell>
        </row>
        <row r="196">
          <cell r="A196" t="str">
            <v>TRX0072</v>
          </cell>
          <cell r="C196" t="str">
            <v>CUST009</v>
          </cell>
          <cell r="N196">
            <v>449.97</v>
          </cell>
        </row>
        <row r="197">
          <cell r="A197" t="str">
            <v>TRX0110</v>
          </cell>
          <cell r="C197" t="str">
            <v>CUST006</v>
          </cell>
          <cell r="N197">
            <v>299.95</v>
          </cell>
        </row>
        <row r="198">
          <cell r="A198" t="str">
            <v>TRX0126</v>
          </cell>
          <cell r="C198" t="str">
            <v>CUST022</v>
          </cell>
          <cell r="N198">
            <v>239.96</v>
          </cell>
        </row>
        <row r="199">
          <cell r="A199" t="str">
            <v>TRX0159</v>
          </cell>
          <cell r="C199" t="str">
            <v>CUST024</v>
          </cell>
          <cell r="N199">
            <v>999.96</v>
          </cell>
        </row>
        <row r="200">
          <cell r="A200" t="str">
            <v>TRX0030</v>
          </cell>
          <cell r="C200" t="str">
            <v>CUST011</v>
          </cell>
          <cell r="N200">
            <v>3599.96</v>
          </cell>
        </row>
        <row r="201">
          <cell r="A201" t="str">
            <v>TRX0178</v>
          </cell>
          <cell r="C201" t="str">
            <v>CUST025</v>
          </cell>
          <cell r="N201">
            <v>899.97</v>
          </cell>
        </row>
        <row r="202">
          <cell r="A202" t="str">
            <v>TRX0188</v>
          </cell>
          <cell r="C202" t="str">
            <v>CUST045</v>
          </cell>
          <cell r="N202">
            <v>1399.98</v>
          </cell>
        </row>
        <row r="203">
          <cell r="A203" t="str">
            <v>TRX0010</v>
          </cell>
          <cell r="C203" t="str">
            <v>CUST026</v>
          </cell>
          <cell r="N203">
            <v>2799.96</v>
          </cell>
        </row>
        <row r="204">
          <cell r="A204" t="str">
            <v>TRX0069</v>
          </cell>
          <cell r="C204" t="str">
            <v>CUST029</v>
          </cell>
          <cell r="N204">
            <v>179.98</v>
          </cell>
        </row>
        <row r="205">
          <cell r="A205" t="str">
            <v>TRX0166</v>
          </cell>
          <cell r="C205" t="str">
            <v>CUST003</v>
          </cell>
          <cell r="N205">
            <v>269.97000000000003</v>
          </cell>
        </row>
        <row r="206">
          <cell r="A206" t="str">
            <v>TRX0219</v>
          </cell>
          <cell r="C206" t="str">
            <v>CUST037</v>
          </cell>
          <cell r="N206">
            <v>59.99</v>
          </cell>
        </row>
        <row r="207">
          <cell r="A207" t="str">
            <v>TRX0024</v>
          </cell>
          <cell r="C207" t="str">
            <v>CUST042</v>
          </cell>
          <cell r="N207">
            <v>449.97</v>
          </cell>
        </row>
        <row r="208">
          <cell r="A208" t="str">
            <v>TRX0105</v>
          </cell>
          <cell r="C208" t="str">
            <v>CUST048</v>
          </cell>
          <cell r="N208">
            <v>1499.95</v>
          </cell>
        </row>
        <row r="209">
          <cell r="A209" t="str">
            <v>TRX0011</v>
          </cell>
          <cell r="C209" t="str">
            <v>CUST040</v>
          </cell>
          <cell r="N209">
            <v>299.95</v>
          </cell>
        </row>
        <row r="210">
          <cell r="A210" t="str">
            <v>TRX0187</v>
          </cell>
          <cell r="C210" t="str">
            <v>CUST036</v>
          </cell>
          <cell r="N210">
            <v>239.97</v>
          </cell>
        </row>
        <row r="211">
          <cell r="A211" t="str">
            <v>TRX0089</v>
          </cell>
          <cell r="C211" t="str">
            <v>CUST021</v>
          </cell>
          <cell r="N211">
            <v>599.97</v>
          </cell>
        </row>
        <row r="212">
          <cell r="A212" t="str">
            <v>TRX0196</v>
          </cell>
          <cell r="C212" t="str">
            <v>CUST023</v>
          </cell>
          <cell r="N212">
            <v>179.98</v>
          </cell>
        </row>
        <row r="213">
          <cell r="A213" t="str">
            <v>TRX0118</v>
          </cell>
          <cell r="C213" t="str">
            <v>CUST015</v>
          </cell>
          <cell r="N213">
            <v>299.98</v>
          </cell>
        </row>
        <row r="214">
          <cell r="A214" t="str">
            <v>TRX0179</v>
          </cell>
          <cell r="C214" t="str">
            <v>CUST029</v>
          </cell>
          <cell r="N214">
            <v>3499.95</v>
          </cell>
        </row>
        <row r="215">
          <cell r="A215" t="str">
            <v>TRX0168</v>
          </cell>
          <cell r="C215" t="str">
            <v>CUST003</v>
          </cell>
          <cell r="N215">
            <v>449.97</v>
          </cell>
        </row>
        <row r="216">
          <cell r="A216" t="str">
            <v>TRX0214</v>
          </cell>
          <cell r="C216" t="str">
            <v>CUST018</v>
          </cell>
          <cell r="N216">
            <v>2699.97</v>
          </cell>
        </row>
        <row r="217">
          <cell r="A217" t="str">
            <v>TRX0221</v>
          </cell>
          <cell r="C217" t="str">
            <v>CUST033</v>
          </cell>
          <cell r="N217">
            <v>599.97</v>
          </cell>
        </row>
        <row r="218">
          <cell r="A218" t="str">
            <v>TRX0083</v>
          </cell>
          <cell r="C218" t="str">
            <v>CUST017</v>
          </cell>
          <cell r="N218">
            <v>1499.95</v>
          </cell>
        </row>
        <row r="219">
          <cell r="A219" t="str">
            <v>TRX0151</v>
          </cell>
          <cell r="C219" t="str">
            <v>CUST040</v>
          </cell>
          <cell r="N219">
            <v>699.99</v>
          </cell>
        </row>
        <row r="220">
          <cell r="A220" t="str">
            <v>TRX0047</v>
          </cell>
          <cell r="C220" t="str">
            <v>CUST042</v>
          </cell>
          <cell r="N220">
            <v>699.99</v>
          </cell>
        </row>
        <row r="221">
          <cell r="A221" t="str">
            <v>TRX0200</v>
          </cell>
          <cell r="C221" t="str">
            <v>CUST037</v>
          </cell>
          <cell r="N221">
            <v>599.96</v>
          </cell>
        </row>
        <row r="222">
          <cell r="A222" t="str">
            <v>TRX0062</v>
          </cell>
          <cell r="C222" t="str">
            <v>CUST016</v>
          </cell>
          <cell r="N222">
            <v>449.95</v>
          </cell>
        </row>
        <row r="223">
          <cell r="A223" t="str">
            <v>TRX0182</v>
          </cell>
          <cell r="C223" t="str">
            <v>CUST031</v>
          </cell>
          <cell r="N223">
            <v>399.98</v>
          </cell>
        </row>
        <row r="224">
          <cell r="A224" t="str">
            <v>TRX0229</v>
          </cell>
          <cell r="C224" t="str">
            <v>CUST015</v>
          </cell>
          <cell r="N224">
            <v>239.96</v>
          </cell>
        </row>
        <row r="225">
          <cell r="A225" t="str">
            <v>TRX0048</v>
          </cell>
          <cell r="C225" t="str">
            <v>CUST048</v>
          </cell>
          <cell r="N225">
            <v>599.98</v>
          </cell>
        </row>
        <row r="226">
          <cell r="A226" t="str">
            <v>TRX0227</v>
          </cell>
          <cell r="C226" t="str">
            <v>CUST017</v>
          </cell>
          <cell r="N226">
            <v>299.98</v>
          </cell>
        </row>
        <row r="227">
          <cell r="A227" t="str">
            <v>TRX0226</v>
          </cell>
          <cell r="C227" t="str">
            <v>CUST039</v>
          </cell>
          <cell r="N227">
            <v>3499.95</v>
          </cell>
        </row>
        <row r="228">
          <cell r="A228" t="str">
            <v>TRX0053</v>
          </cell>
          <cell r="C228" t="str">
            <v>CUST043</v>
          </cell>
          <cell r="N228">
            <v>299.95</v>
          </cell>
        </row>
        <row r="229">
          <cell r="A229" t="str">
            <v>TRX0233</v>
          </cell>
          <cell r="C229" t="str">
            <v>CUST023</v>
          </cell>
          <cell r="N229">
            <v>179.98</v>
          </cell>
        </row>
        <row r="230">
          <cell r="A230" t="str">
            <v>TRX0175</v>
          </cell>
          <cell r="C230" t="str">
            <v>CUST030</v>
          </cell>
          <cell r="N230">
            <v>1249.95</v>
          </cell>
        </row>
        <row r="231">
          <cell r="A231" t="str">
            <v>TRX0186</v>
          </cell>
          <cell r="C231" t="str">
            <v>CUST039</v>
          </cell>
          <cell r="N231">
            <v>299.98</v>
          </cell>
        </row>
        <row r="232">
          <cell r="A232" t="str">
            <v>TRX0016</v>
          </cell>
          <cell r="C232" t="str">
            <v>CUST035</v>
          </cell>
          <cell r="N232">
            <v>4499.95</v>
          </cell>
        </row>
        <row r="233">
          <cell r="A233" t="str">
            <v>TRX0199</v>
          </cell>
          <cell r="C233" t="str">
            <v>CUST017</v>
          </cell>
          <cell r="N233">
            <v>599.96</v>
          </cell>
        </row>
        <row r="234">
          <cell r="A234" t="str">
            <v>TRX0038</v>
          </cell>
          <cell r="C234" t="str">
            <v>CUST035</v>
          </cell>
          <cell r="N234">
            <v>249.99</v>
          </cell>
        </row>
        <row r="235">
          <cell r="A235" t="str">
            <v>TRX0014</v>
          </cell>
          <cell r="C235" t="str">
            <v>CUST033</v>
          </cell>
          <cell r="N235">
            <v>119.98</v>
          </cell>
        </row>
        <row r="236">
          <cell r="A236" t="str">
            <v>TRX0003</v>
          </cell>
          <cell r="C236" t="str">
            <v>CUST002</v>
          </cell>
          <cell r="N236">
            <v>299.98</v>
          </cell>
        </row>
        <row r="237">
          <cell r="A237" t="str">
            <v>TRX0124</v>
          </cell>
          <cell r="C237" t="str">
            <v>CUST040</v>
          </cell>
          <cell r="N237">
            <v>2699.97</v>
          </cell>
        </row>
        <row r="238">
          <cell r="A238" t="str">
            <v>TRX0013</v>
          </cell>
          <cell r="C238" t="str">
            <v>CUST024</v>
          </cell>
          <cell r="N238">
            <v>2699.97</v>
          </cell>
        </row>
        <row r="239">
          <cell r="A239" t="str">
            <v>TRX0019</v>
          </cell>
          <cell r="C239" t="str">
            <v>CUST023</v>
          </cell>
          <cell r="N239">
            <v>899.97</v>
          </cell>
        </row>
        <row r="240">
          <cell r="A240" t="str">
            <v>TRX0050</v>
          </cell>
          <cell r="C240" t="str">
            <v>CUST001</v>
          </cell>
          <cell r="N240">
            <v>599.96</v>
          </cell>
        </row>
        <row r="241">
          <cell r="A241" t="str">
            <v>TRX0152</v>
          </cell>
          <cell r="C241" t="str">
            <v>CUST044</v>
          </cell>
          <cell r="N241">
            <v>319.95999999999998</v>
          </cell>
        </row>
        <row r="242">
          <cell r="A242" t="str">
            <v>TRX0213</v>
          </cell>
          <cell r="C242" t="str">
            <v>CUST020</v>
          </cell>
          <cell r="N242">
            <v>449.95</v>
          </cell>
        </row>
        <row r="243">
          <cell r="A243" t="str">
            <v>TRX0197</v>
          </cell>
          <cell r="C243" t="str">
            <v>CUST048</v>
          </cell>
          <cell r="N243">
            <v>449.97</v>
          </cell>
        </row>
        <row r="244">
          <cell r="A244" t="str">
            <v>TRX0250</v>
          </cell>
          <cell r="C244" t="str">
            <v>CUST026</v>
          </cell>
          <cell r="N244">
            <v>179.98</v>
          </cell>
        </row>
        <row r="245">
          <cell r="A245" t="str">
            <v>TRX0068</v>
          </cell>
          <cell r="C245" t="str">
            <v>CUST044</v>
          </cell>
          <cell r="N245">
            <v>1399.98</v>
          </cell>
        </row>
        <row r="246">
          <cell r="A246" t="str">
            <v>TRX0144</v>
          </cell>
          <cell r="C246" t="str">
            <v>CUST029</v>
          </cell>
          <cell r="N246">
            <v>2699.97</v>
          </cell>
        </row>
        <row r="247">
          <cell r="A247" t="str">
            <v>TRX0039</v>
          </cell>
          <cell r="C247" t="str">
            <v>CUST048</v>
          </cell>
          <cell r="N247">
            <v>239.97</v>
          </cell>
        </row>
        <row r="248">
          <cell r="A248" t="str">
            <v>TRX0116</v>
          </cell>
          <cell r="C248" t="str">
            <v>CUST009</v>
          </cell>
          <cell r="N248">
            <v>89.99</v>
          </cell>
        </row>
        <row r="249">
          <cell r="A249" t="str">
            <v>TRX0120</v>
          </cell>
          <cell r="C249" t="str">
            <v>CUST045</v>
          </cell>
          <cell r="N249">
            <v>2099.9699999999998</v>
          </cell>
        </row>
        <row r="250">
          <cell r="A250" t="str">
            <v>TRX0103</v>
          </cell>
          <cell r="C250" t="str">
            <v>CUST039</v>
          </cell>
          <cell r="N250">
            <v>179.98</v>
          </cell>
        </row>
        <row r="251">
          <cell r="A251" t="str">
            <v>TRX0064</v>
          </cell>
          <cell r="C251" t="str">
            <v>CUST031</v>
          </cell>
          <cell r="N251">
            <v>269.97000000000003</v>
          </cell>
        </row>
      </sheetData>
      <sheetData sheetId="1" refreshError="1"/>
      <sheetData sheetId="2" refreshError="1"/>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22.869099884301" createdVersion="6" refreshedVersion="6" minRefreshableVersion="3" recordCount="250">
  <cacheSource type="worksheet">
    <worksheetSource name="RawData"/>
  </cacheSource>
  <cacheFields count="16">
    <cacheField name="Transaction_ID" numFmtId="0">
      <sharedItems containsNonDate="0"/>
    </cacheField>
    <cacheField name="Date" numFmtId="14">
      <sharedItems containsSemiMixedTypes="0" containsNonDate="0" containsDate="1" containsString="0" minDate="2024-04-11T00:00:00" maxDate="2025-04-11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base="1">
        <rangePr groupBy="months" startDate="2024-04-11T00:00:00" endDate="2025-04-12T00:00:00"/>
        <groupItems count="14">
          <s v="&lt;4/11/2024"/>
          <s v="Jan"/>
          <s v="Feb"/>
          <s v="Mar"/>
          <s v="Apr"/>
          <s v="May"/>
          <s v="Jun"/>
          <s v="Jul"/>
          <s v="Aug"/>
          <s v="Sep"/>
          <s v="Oct"/>
          <s v="Nov"/>
          <s v="Dec"/>
          <s v="&gt;4/12/2025"/>
        </groupItems>
      </fieldGroup>
    </cacheField>
    <cacheField name="Customer_ID" numFmtId="0">
      <sharedItems containsNonDate="0"/>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ontainsNonDate="0"/>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NonDate="0" containsString="0" containsNumber="1" containsInteger="1" minValue="1" maxValue="5"/>
    </cacheField>
    <cacheField name="Unit_Price" numFmtId="0">
      <sharedItems containsSemiMixedTypes="0" containsNonDate="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1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NonDate="0" containsString="0" containsNumber="1" minValue="59.99" maxValue="4499.95"/>
    </cacheField>
    <cacheField name="Quarters" numFmtId="0" databaseField="0">
      <fieldGroup base="1">
        <rangePr groupBy="quarters" startDate="2024-04-11T00:00:00" endDate="2025-04-12T00:00:00"/>
        <groupItems count="6">
          <s v="&lt;4/11/2024"/>
          <s v="Qtr1"/>
          <s v="Qtr2"/>
          <s v="Qtr3"/>
          <s v="Qtr4"/>
          <s v="&gt;4/12/2025"/>
        </groupItems>
      </fieldGroup>
    </cacheField>
    <cacheField name="Years" numFmtId="0" databaseField="0">
      <fieldGroup base="1">
        <rangePr groupBy="years" startDate="2024-04-11T00:00:00" endDate="2025-04-12T00:00:00"/>
        <groupItems count="4">
          <s v="&lt;4/11/2024"/>
          <s v="2024"/>
          <s v="2025"/>
          <s v="&gt;4/12/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
  <r>
    <s v="TRX0155"/>
    <x v="0"/>
    <s v="CUST023"/>
    <x v="0"/>
    <s v="P009"/>
    <x v="0"/>
    <x v="0"/>
    <n v="3"/>
    <n v="249.99"/>
    <x v="0"/>
    <x v="0"/>
    <x v="0"/>
    <x v="0"/>
    <n v="749.97"/>
  </r>
  <r>
    <s v="TRX0023"/>
    <x v="1"/>
    <s v="CUST013"/>
    <x v="1"/>
    <s v="P009"/>
    <x v="0"/>
    <x v="0"/>
    <n v="3"/>
    <n v="249.99"/>
    <x v="1"/>
    <x v="0"/>
    <x v="1"/>
    <x v="1"/>
    <n v="749.97"/>
  </r>
  <r>
    <s v="TRX0139"/>
    <x v="2"/>
    <s v="CUST021"/>
    <x v="2"/>
    <s v="P005"/>
    <x v="1"/>
    <x v="1"/>
    <n v="3"/>
    <n v="59.99"/>
    <x v="2"/>
    <x v="1"/>
    <x v="2"/>
    <x v="2"/>
    <n v="179.97"/>
  </r>
  <r>
    <s v="TRX0043"/>
    <x v="3"/>
    <s v="CUST046"/>
    <x v="3"/>
    <s v="P005"/>
    <x v="1"/>
    <x v="1"/>
    <n v="3"/>
    <n v="59.99"/>
    <x v="0"/>
    <x v="2"/>
    <x v="1"/>
    <x v="3"/>
    <n v="179.97"/>
  </r>
  <r>
    <s v="TRX0212"/>
    <x v="3"/>
    <s v="CUST003"/>
    <x v="4"/>
    <s v="P008"/>
    <x v="2"/>
    <x v="2"/>
    <n v="5"/>
    <n v="149.99"/>
    <x v="1"/>
    <x v="2"/>
    <x v="1"/>
    <x v="4"/>
    <n v="749.95"/>
  </r>
  <r>
    <s v="TRX0092"/>
    <x v="4"/>
    <s v="CUST024"/>
    <x v="5"/>
    <s v="P005"/>
    <x v="1"/>
    <x v="1"/>
    <n v="2"/>
    <n v="59.99"/>
    <x v="0"/>
    <x v="3"/>
    <x v="2"/>
    <x v="5"/>
    <n v="119.98"/>
  </r>
  <r>
    <s v="TRX0193"/>
    <x v="4"/>
    <s v="CUST024"/>
    <x v="5"/>
    <s v="P003"/>
    <x v="3"/>
    <x v="0"/>
    <n v="5"/>
    <n v="149.99"/>
    <x v="1"/>
    <x v="0"/>
    <x v="2"/>
    <x v="6"/>
    <n v="749.95"/>
  </r>
  <r>
    <s v="TRX0240"/>
    <x v="4"/>
    <s v="CUST017"/>
    <x v="6"/>
    <s v="P005"/>
    <x v="1"/>
    <x v="1"/>
    <n v="3"/>
    <n v="59.99"/>
    <x v="3"/>
    <x v="1"/>
    <x v="0"/>
    <x v="7"/>
    <n v="179.97"/>
  </r>
  <r>
    <s v="TRX0135"/>
    <x v="5"/>
    <s v="CUST009"/>
    <x v="7"/>
    <s v="P001"/>
    <x v="4"/>
    <x v="0"/>
    <n v="3"/>
    <n v="899.99"/>
    <x v="2"/>
    <x v="4"/>
    <x v="2"/>
    <x v="8"/>
    <n v="2699.97"/>
  </r>
  <r>
    <s v="TRX0185"/>
    <x v="6"/>
    <s v="CUST026"/>
    <x v="8"/>
    <s v="P005"/>
    <x v="1"/>
    <x v="1"/>
    <n v="3"/>
    <n v="59.99"/>
    <x v="0"/>
    <x v="3"/>
    <x v="1"/>
    <x v="9"/>
    <n v="179.97"/>
  </r>
  <r>
    <s v="TRX0138"/>
    <x v="6"/>
    <s v="CUST022"/>
    <x v="9"/>
    <s v="P008"/>
    <x v="2"/>
    <x v="2"/>
    <n v="1"/>
    <n v="149.99"/>
    <x v="1"/>
    <x v="3"/>
    <x v="2"/>
    <x v="10"/>
    <n v="149.99"/>
  </r>
  <r>
    <s v="TRX0209"/>
    <x v="6"/>
    <s v="CUST046"/>
    <x v="3"/>
    <s v="P008"/>
    <x v="2"/>
    <x v="2"/>
    <n v="5"/>
    <n v="149.99"/>
    <x v="3"/>
    <x v="2"/>
    <x v="0"/>
    <x v="11"/>
    <n v="749.95"/>
  </r>
  <r>
    <s v="TRX0246"/>
    <x v="6"/>
    <s v="CUST041"/>
    <x v="10"/>
    <s v="P008"/>
    <x v="2"/>
    <x v="2"/>
    <n v="3"/>
    <n v="149.99"/>
    <x v="0"/>
    <x v="2"/>
    <x v="1"/>
    <x v="12"/>
    <n v="449.97"/>
  </r>
  <r>
    <s v="TRX0067"/>
    <x v="7"/>
    <s v="CUST043"/>
    <x v="11"/>
    <s v="P005"/>
    <x v="1"/>
    <x v="1"/>
    <n v="3"/>
    <n v="59.99"/>
    <x v="1"/>
    <x v="2"/>
    <x v="2"/>
    <x v="13"/>
    <n v="179.97"/>
  </r>
  <r>
    <s v="TRX0191"/>
    <x v="7"/>
    <s v="CUST038"/>
    <x v="12"/>
    <s v="P002"/>
    <x v="5"/>
    <x v="0"/>
    <n v="3"/>
    <n v="699.99"/>
    <x v="1"/>
    <x v="3"/>
    <x v="0"/>
    <x v="14"/>
    <n v="2099.97"/>
  </r>
  <r>
    <s v="TRX0230"/>
    <x v="7"/>
    <s v="CUST027"/>
    <x v="13"/>
    <s v="P001"/>
    <x v="4"/>
    <x v="0"/>
    <n v="1"/>
    <n v="899.99"/>
    <x v="3"/>
    <x v="2"/>
    <x v="2"/>
    <x v="15"/>
    <n v="899.99"/>
  </r>
  <r>
    <s v="TRX0049"/>
    <x v="8"/>
    <s v="CUST025"/>
    <x v="14"/>
    <s v="P008"/>
    <x v="2"/>
    <x v="2"/>
    <n v="4"/>
    <n v="149.99"/>
    <x v="3"/>
    <x v="2"/>
    <x v="1"/>
    <x v="16"/>
    <n v="599.96"/>
  </r>
  <r>
    <s v="TRX0134"/>
    <x v="8"/>
    <s v="CUST010"/>
    <x v="15"/>
    <s v="P002"/>
    <x v="5"/>
    <x v="0"/>
    <n v="2"/>
    <n v="699.99"/>
    <x v="0"/>
    <x v="2"/>
    <x v="0"/>
    <x v="17"/>
    <n v="1399.98"/>
  </r>
  <r>
    <s v="TRX0122"/>
    <x v="8"/>
    <s v="CUST025"/>
    <x v="14"/>
    <s v="P001"/>
    <x v="4"/>
    <x v="0"/>
    <n v="4"/>
    <n v="899.99"/>
    <x v="1"/>
    <x v="3"/>
    <x v="2"/>
    <x v="18"/>
    <n v="3599.96"/>
  </r>
  <r>
    <s v="TRX0222"/>
    <x v="8"/>
    <s v="CUST048"/>
    <x v="16"/>
    <s v="P009"/>
    <x v="0"/>
    <x v="0"/>
    <n v="3"/>
    <n v="249.99"/>
    <x v="1"/>
    <x v="2"/>
    <x v="1"/>
    <x v="19"/>
    <n v="749.97"/>
  </r>
  <r>
    <s v="TRX0231"/>
    <x v="9"/>
    <s v="CUST018"/>
    <x v="17"/>
    <s v="P002"/>
    <x v="5"/>
    <x v="0"/>
    <n v="5"/>
    <n v="699.99"/>
    <x v="0"/>
    <x v="3"/>
    <x v="0"/>
    <x v="20"/>
    <n v="3499.95"/>
  </r>
  <r>
    <s v="TRX0239"/>
    <x v="10"/>
    <s v="CUST012"/>
    <x v="18"/>
    <s v="P002"/>
    <x v="5"/>
    <x v="0"/>
    <n v="4"/>
    <n v="699.99"/>
    <x v="0"/>
    <x v="4"/>
    <x v="2"/>
    <x v="21"/>
    <n v="2799.96"/>
  </r>
  <r>
    <s v="TRX0204"/>
    <x v="11"/>
    <s v="CUST044"/>
    <x v="19"/>
    <s v="P009"/>
    <x v="0"/>
    <x v="0"/>
    <n v="4"/>
    <n v="249.99"/>
    <x v="2"/>
    <x v="2"/>
    <x v="2"/>
    <x v="22"/>
    <n v="999.96"/>
  </r>
  <r>
    <s v="TRX0242"/>
    <x v="12"/>
    <s v="CUST025"/>
    <x v="14"/>
    <s v="P007"/>
    <x v="6"/>
    <x v="2"/>
    <n v="4"/>
    <n v="299.99"/>
    <x v="0"/>
    <x v="3"/>
    <x v="1"/>
    <x v="23"/>
    <n v="1199.96"/>
  </r>
  <r>
    <s v="TRX0071"/>
    <x v="13"/>
    <s v="CUST036"/>
    <x v="20"/>
    <s v="P009"/>
    <x v="0"/>
    <x v="0"/>
    <n v="5"/>
    <n v="249.99"/>
    <x v="1"/>
    <x v="3"/>
    <x v="2"/>
    <x v="24"/>
    <n v="1249.95"/>
  </r>
  <r>
    <s v="TRX0040"/>
    <x v="14"/>
    <s v="CUST022"/>
    <x v="9"/>
    <s v="P007"/>
    <x v="6"/>
    <x v="2"/>
    <n v="5"/>
    <n v="299.99"/>
    <x v="2"/>
    <x v="4"/>
    <x v="0"/>
    <x v="25"/>
    <n v="1499.95"/>
  </r>
  <r>
    <s v="TRX0235"/>
    <x v="14"/>
    <s v="CUST014"/>
    <x v="21"/>
    <s v="P004"/>
    <x v="7"/>
    <x v="1"/>
    <n v="3"/>
    <n v="79.99"/>
    <x v="2"/>
    <x v="4"/>
    <x v="1"/>
    <x v="26"/>
    <n v="239.97"/>
  </r>
  <r>
    <s v="TRX0004"/>
    <x v="14"/>
    <s v="CUST012"/>
    <x v="18"/>
    <s v="P010"/>
    <x v="8"/>
    <x v="0"/>
    <n v="5"/>
    <n v="89.99"/>
    <x v="0"/>
    <x v="2"/>
    <x v="1"/>
    <x v="27"/>
    <n v="449.95"/>
  </r>
  <r>
    <s v="TRX0063"/>
    <x v="15"/>
    <s v="CUST030"/>
    <x v="22"/>
    <s v="P005"/>
    <x v="1"/>
    <x v="1"/>
    <n v="2"/>
    <n v="59.99"/>
    <x v="3"/>
    <x v="0"/>
    <x v="2"/>
    <x v="28"/>
    <n v="119.98"/>
  </r>
  <r>
    <s v="TRX0241"/>
    <x v="16"/>
    <s v="CUST029"/>
    <x v="23"/>
    <s v="P005"/>
    <x v="1"/>
    <x v="1"/>
    <n v="4"/>
    <n v="59.99"/>
    <x v="3"/>
    <x v="4"/>
    <x v="2"/>
    <x v="29"/>
    <n v="239.96"/>
  </r>
  <r>
    <s v="TRX0029"/>
    <x v="16"/>
    <s v="CUST017"/>
    <x v="6"/>
    <s v="P006"/>
    <x v="9"/>
    <x v="2"/>
    <n v="5"/>
    <n v="199.99"/>
    <x v="0"/>
    <x v="1"/>
    <x v="2"/>
    <x v="30"/>
    <n v="999.95"/>
  </r>
  <r>
    <s v="TRX0194"/>
    <x v="17"/>
    <s v="CUST006"/>
    <x v="24"/>
    <s v="P008"/>
    <x v="2"/>
    <x v="2"/>
    <n v="2"/>
    <n v="149.99"/>
    <x v="1"/>
    <x v="3"/>
    <x v="0"/>
    <x v="31"/>
    <n v="299.98"/>
  </r>
  <r>
    <s v="TRX0130"/>
    <x v="18"/>
    <s v="CUST002"/>
    <x v="25"/>
    <s v="P008"/>
    <x v="2"/>
    <x v="2"/>
    <n v="3"/>
    <n v="149.99"/>
    <x v="1"/>
    <x v="3"/>
    <x v="1"/>
    <x v="32"/>
    <n v="449.97"/>
  </r>
  <r>
    <s v="TRX0041"/>
    <x v="19"/>
    <s v="CUST021"/>
    <x v="2"/>
    <s v="P001"/>
    <x v="4"/>
    <x v="0"/>
    <n v="1"/>
    <n v="899.99"/>
    <x v="1"/>
    <x v="3"/>
    <x v="1"/>
    <x v="33"/>
    <n v="899.99"/>
  </r>
  <r>
    <s v="TRX0232"/>
    <x v="20"/>
    <s v="CUST012"/>
    <x v="18"/>
    <s v="P007"/>
    <x v="6"/>
    <x v="2"/>
    <n v="3"/>
    <n v="299.99"/>
    <x v="1"/>
    <x v="4"/>
    <x v="0"/>
    <x v="34"/>
    <n v="899.97"/>
  </r>
  <r>
    <s v="TRX0021"/>
    <x v="21"/>
    <s v="CUST006"/>
    <x v="24"/>
    <s v="P004"/>
    <x v="7"/>
    <x v="1"/>
    <n v="3"/>
    <n v="79.99"/>
    <x v="0"/>
    <x v="1"/>
    <x v="0"/>
    <x v="35"/>
    <n v="239.97"/>
  </r>
  <r>
    <s v="TRX0245"/>
    <x v="22"/>
    <s v="CUST031"/>
    <x v="26"/>
    <s v="P006"/>
    <x v="9"/>
    <x v="2"/>
    <n v="3"/>
    <n v="199.99"/>
    <x v="1"/>
    <x v="2"/>
    <x v="1"/>
    <x v="36"/>
    <n v="599.97"/>
  </r>
  <r>
    <s v="TRX0015"/>
    <x v="23"/>
    <s v="CUST008"/>
    <x v="27"/>
    <s v="P002"/>
    <x v="5"/>
    <x v="0"/>
    <n v="5"/>
    <n v="699.99"/>
    <x v="2"/>
    <x v="3"/>
    <x v="2"/>
    <x v="37"/>
    <n v="3499.95"/>
  </r>
  <r>
    <s v="TRX0202"/>
    <x v="24"/>
    <s v="CUST035"/>
    <x v="28"/>
    <s v="P010"/>
    <x v="8"/>
    <x v="0"/>
    <n v="3"/>
    <n v="89.99"/>
    <x v="2"/>
    <x v="0"/>
    <x v="1"/>
    <x v="38"/>
    <n v="269.97"/>
  </r>
  <r>
    <s v="TRX0042"/>
    <x v="25"/>
    <s v="CUST019"/>
    <x v="29"/>
    <s v="P004"/>
    <x v="7"/>
    <x v="1"/>
    <n v="1"/>
    <n v="79.99"/>
    <x v="0"/>
    <x v="2"/>
    <x v="2"/>
    <x v="39"/>
    <n v="79.99"/>
  </r>
  <r>
    <s v="TRX0128"/>
    <x v="26"/>
    <s v="CUST040"/>
    <x v="30"/>
    <s v="P005"/>
    <x v="1"/>
    <x v="1"/>
    <n v="2"/>
    <n v="59.99"/>
    <x v="0"/>
    <x v="3"/>
    <x v="0"/>
    <x v="40"/>
    <n v="119.98"/>
  </r>
  <r>
    <s v="TRX0117"/>
    <x v="26"/>
    <s v="CUST017"/>
    <x v="6"/>
    <s v="P010"/>
    <x v="8"/>
    <x v="0"/>
    <n v="1"/>
    <n v="89.99"/>
    <x v="0"/>
    <x v="2"/>
    <x v="0"/>
    <x v="41"/>
    <n v="89.99"/>
  </r>
  <r>
    <s v="TRX0208"/>
    <x v="27"/>
    <s v="CUST004"/>
    <x v="31"/>
    <s v="P010"/>
    <x v="8"/>
    <x v="0"/>
    <n v="5"/>
    <n v="89.99"/>
    <x v="1"/>
    <x v="4"/>
    <x v="2"/>
    <x v="42"/>
    <n v="449.95"/>
  </r>
  <r>
    <s v="TRX0234"/>
    <x v="28"/>
    <s v="CUST013"/>
    <x v="1"/>
    <s v="P009"/>
    <x v="0"/>
    <x v="0"/>
    <n v="5"/>
    <n v="249.99"/>
    <x v="1"/>
    <x v="4"/>
    <x v="2"/>
    <x v="43"/>
    <n v="1249.95"/>
  </r>
  <r>
    <s v="TRX0121"/>
    <x v="28"/>
    <s v="CUST028"/>
    <x v="32"/>
    <s v="P010"/>
    <x v="8"/>
    <x v="0"/>
    <n v="1"/>
    <n v="89.99"/>
    <x v="1"/>
    <x v="1"/>
    <x v="2"/>
    <x v="44"/>
    <n v="89.99"/>
  </r>
  <r>
    <s v="TRX0220"/>
    <x v="29"/>
    <s v="CUST003"/>
    <x v="4"/>
    <s v="P008"/>
    <x v="2"/>
    <x v="2"/>
    <n v="2"/>
    <n v="149.99"/>
    <x v="0"/>
    <x v="4"/>
    <x v="1"/>
    <x v="45"/>
    <n v="299.98"/>
  </r>
  <r>
    <s v="TRX0093"/>
    <x v="30"/>
    <s v="CUST050"/>
    <x v="33"/>
    <s v="P005"/>
    <x v="1"/>
    <x v="1"/>
    <n v="4"/>
    <n v="59.99"/>
    <x v="0"/>
    <x v="4"/>
    <x v="2"/>
    <x v="46"/>
    <n v="239.96"/>
  </r>
  <r>
    <s v="TRX0088"/>
    <x v="31"/>
    <s v="CUST006"/>
    <x v="24"/>
    <s v="P010"/>
    <x v="8"/>
    <x v="0"/>
    <n v="5"/>
    <n v="89.99"/>
    <x v="0"/>
    <x v="0"/>
    <x v="1"/>
    <x v="47"/>
    <n v="449.95"/>
  </r>
  <r>
    <s v="TRX0115"/>
    <x v="32"/>
    <s v="CUST012"/>
    <x v="18"/>
    <s v="P010"/>
    <x v="8"/>
    <x v="0"/>
    <n v="2"/>
    <n v="89.99"/>
    <x v="1"/>
    <x v="1"/>
    <x v="1"/>
    <x v="48"/>
    <n v="179.98"/>
  </r>
  <r>
    <s v="TRX0154"/>
    <x v="32"/>
    <s v="CUST023"/>
    <x v="0"/>
    <s v="P001"/>
    <x v="4"/>
    <x v="0"/>
    <n v="5"/>
    <n v="899.99"/>
    <x v="1"/>
    <x v="1"/>
    <x v="2"/>
    <x v="49"/>
    <n v="4499.95"/>
  </r>
  <r>
    <s v="TRX0044"/>
    <x v="32"/>
    <s v="CUST029"/>
    <x v="23"/>
    <s v="P001"/>
    <x v="4"/>
    <x v="0"/>
    <n v="5"/>
    <n v="899.99"/>
    <x v="2"/>
    <x v="4"/>
    <x v="1"/>
    <x v="50"/>
    <n v="4499.95"/>
  </r>
  <r>
    <s v="TRX0061"/>
    <x v="33"/>
    <s v="CUST028"/>
    <x v="32"/>
    <s v="P005"/>
    <x v="1"/>
    <x v="1"/>
    <n v="1"/>
    <n v="59.99"/>
    <x v="3"/>
    <x v="3"/>
    <x v="1"/>
    <x v="51"/>
    <n v="59.99"/>
  </r>
  <r>
    <s v="TRX0150"/>
    <x v="33"/>
    <s v="CUST008"/>
    <x v="27"/>
    <s v="P007"/>
    <x v="6"/>
    <x v="2"/>
    <n v="2"/>
    <n v="299.99"/>
    <x v="3"/>
    <x v="4"/>
    <x v="2"/>
    <x v="52"/>
    <n v="599.98"/>
  </r>
  <r>
    <s v="TRX0025"/>
    <x v="34"/>
    <s v="CUST049"/>
    <x v="34"/>
    <s v="P010"/>
    <x v="8"/>
    <x v="0"/>
    <n v="4"/>
    <n v="89.99"/>
    <x v="3"/>
    <x v="1"/>
    <x v="0"/>
    <x v="53"/>
    <n v="359.96"/>
  </r>
  <r>
    <s v="TRX0078"/>
    <x v="35"/>
    <s v="CUST021"/>
    <x v="2"/>
    <s v="P004"/>
    <x v="7"/>
    <x v="1"/>
    <n v="1"/>
    <n v="79.99"/>
    <x v="2"/>
    <x v="0"/>
    <x v="1"/>
    <x v="54"/>
    <n v="79.99"/>
  </r>
  <r>
    <s v="TRX0007"/>
    <x v="35"/>
    <s v="CUST009"/>
    <x v="7"/>
    <s v="P010"/>
    <x v="8"/>
    <x v="0"/>
    <n v="2"/>
    <n v="89.99"/>
    <x v="0"/>
    <x v="3"/>
    <x v="0"/>
    <x v="55"/>
    <n v="179.98"/>
  </r>
  <r>
    <s v="TRX0184"/>
    <x v="36"/>
    <s v="CUST046"/>
    <x v="3"/>
    <s v="P002"/>
    <x v="5"/>
    <x v="0"/>
    <n v="3"/>
    <n v="699.99"/>
    <x v="1"/>
    <x v="4"/>
    <x v="1"/>
    <x v="56"/>
    <n v="2099.97"/>
  </r>
  <r>
    <s v="TRX0104"/>
    <x v="36"/>
    <s v="CUST012"/>
    <x v="18"/>
    <s v="P001"/>
    <x v="4"/>
    <x v="0"/>
    <n v="4"/>
    <n v="899.99"/>
    <x v="1"/>
    <x v="4"/>
    <x v="1"/>
    <x v="57"/>
    <n v="3599.96"/>
  </r>
  <r>
    <s v="TRX0127"/>
    <x v="37"/>
    <s v="CUST030"/>
    <x v="22"/>
    <s v="P008"/>
    <x v="2"/>
    <x v="2"/>
    <n v="1"/>
    <n v="149.99"/>
    <x v="2"/>
    <x v="4"/>
    <x v="0"/>
    <x v="58"/>
    <n v="149.99"/>
  </r>
  <r>
    <s v="TRX0096"/>
    <x v="38"/>
    <s v="CUST002"/>
    <x v="25"/>
    <s v="P010"/>
    <x v="8"/>
    <x v="0"/>
    <n v="2"/>
    <n v="89.99"/>
    <x v="2"/>
    <x v="0"/>
    <x v="1"/>
    <x v="59"/>
    <n v="179.98"/>
  </r>
  <r>
    <s v="TRX0192"/>
    <x v="39"/>
    <s v="CUST017"/>
    <x v="6"/>
    <s v="P010"/>
    <x v="8"/>
    <x v="0"/>
    <n v="1"/>
    <n v="89.99"/>
    <x v="2"/>
    <x v="3"/>
    <x v="2"/>
    <x v="60"/>
    <n v="89.99"/>
  </r>
  <r>
    <s v="TRX0052"/>
    <x v="40"/>
    <s v="CUST022"/>
    <x v="9"/>
    <s v="P010"/>
    <x v="8"/>
    <x v="0"/>
    <n v="1"/>
    <n v="89.99"/>
    <x v="0"/>
    <x v="1"/>
    <x v="2"/>
    <x v="61"/>
    <n v="89.99"/>
  </r>
  <r>
    <s v="TRX0070"/>
    <x v="40"/>
    <s v="CUST007"/>
    <x v="35"/>
    <s v="P004"/>
    <x v="7"/>
    <x v="1"/>
    <n v="5"/>
    <n v="79.99"/>
    <x v="3"/>
    <x v="0"/>
    <x v="0"/>
    <x v="62"/>
    <n v="399.95"/>
  </r>
  <r>
    <s v="TRX0086"/>
    <x v="41"/>
    <s v="CUST020"/>
    <x v="36"/>
    <s v="P008"/>
    <x v="2"/>
    <x v="2"/>
    <n v="1"/>
    <n v="149.99"/>
    <x v="2"/>
    <x v="2"/>
    <x v="0"/>
    <x v="63"/>
    <n v="149.99"/>
  </r>
  <r>
    <s v="TRX0113"/>
    <x v="41"/>
    <s v="CUST003"/>
    <x v="4"/>
    <s v="P002"/>
    <x v="5"/>
    <x v="0"/>
    <n v="2"/>
    <n v="699.99"/>
    <x v="2"/>
    <x v="4"/>
    <x v="1"/>
    <x v="64"/>
    <n v="1399.98"/>
  </r>
  <r>
    <s v="TRX0114"/>
    <x v="41"/>
    <s v="CUST018"/>
    <x v="17"/>
    <s v="P010"/>
    <x v="8"/>
    <x v="0"/>
    <n v="5"/>
    <n v="89.99"/>
    <x v="3"/>
    <x v="2"/>
    <x v="1"/>
    <x v="65"/>
    <n v="449.95"/>
  </r>
  <r>
    <s v="TRX0136"/>
    <x v="42"/>
    <s v="CUST049"/>
    <x v="34"/>
    <s v="P005"/>
    <x v="1"/>
    <x v="1"/>
    <n v="4"/>
    <n v="59.99"/>
    <x v="0"/>
    <x v="1"/>
    <x v="2"/>
    <x v="66"/>
    <n v="239.96"/>
  </r>
  <r>
    <s v="TRX0018"/>
    <x v="43"/>
    <s v="CUST013"/>
    <x v="1"/>
    <s v="P003"/>
    <x v="3"/>
    <x v="0"/>
    <n v="1"/>
    <n v="149.99"/>
    <x v="0"/>
    <x v="0"/>
    <x v="2"/>
    <x v="67"/>
    <n v="149.99"/>
  </r>
  <r>
    <s v="TRX0141"/>
    <x v="43"/>
    <s v="CUST033"/>
    <x v="37"/>
    <s v="P007"/>
    <x v="6"/>
    <x v="2"/>
    <n v="1"/>
    <n v="299.99"/>
    <x v="1"/>
    <x v="2"/>
    <x v="1"/>
    <x v="68"/>
    <n v="299.99"/>
  </r>
  <r>
    <s v="TRX0097"/>
    <x v="44"/>
    <s v="CUST033"/>
    <x v="37"/>
    <s v="P006"/>
    <x v="9"/>
    <x v="2"/>
    <n v="2"/>
    <n v="199.99"/>
    <x v="0"/>
    <x v="2"/>
    <x v="0"/>
    <x v="69"/>
    <n v="399.98"/>
  </r>
  <r>
    <s v="TRX0169"/>
    <x v="45"/>
    <s v="CUST047"/>
    <x v="38"/>
    <s v="P005"/>
    <x v="1"/>
    <x v="1"/>
    <n v="3"/>
    <n v="59.99"/>
    <x v="1"/>
    <x v="3"/>
    <x v="0"/>
    <x v="70"/>
    <n v="179.97"/>
  </r>
  <r>
    <s v="TRX0216"/>
    <x v="45"/>
    <s v="CUST041"/>
    <x v="10"/>
    <s v="P008"/>
    <x v="2"/>
    <x v="2"/>
    <n v="3"/>
    <n v="149.99"/>
    <x v="0"/>
    <x v="0"/>
    <x v="1"/>
    <x v="71"/>
    <n v="449.97"/>
  </r>
  <r>
    <s v="TRX0131"/>
    <x v="46"/>
    <s v="CUST026"/>
    <x v="8"/>
    <s v="P006"/>
    <x v="9"/>
    <x v="2"/>
    <n v="3"/>
    <n v="199.99"/>
    <x v="0"/>
    <x v="2"/>
    <x v="1"/>
    <x v="72"/>
    <n v="599.97"/>
  </r>
  <r>
    <s v="TRX0162"/>
    <x v="47"/>
    <s v="CUST040"/>
    <x v="30"/>
    <s v="P001"/>
    <x v="4"/>
    <x v="0"/>
    <n v="1"/>
    <n v="899.99"/>
    <x v="0"/>
    <x v="0"/>
    <x v="2"/>
    <x v="73"/>
    <n v="899.99"/>
  </r>
  <r>
    <s v="TRX0244"/>
    <x v="48"/>
    <s v="CUST013"/>
    <x v="1"/>
    <s v="P001"/>
    <x v="4"/>
    <x v="0"/>
    <n v="5"/>
    <n v="899.99"/>
    <x v="3"/>
    <x v="1"/>
    <x v="2"/>
    <x v="74"/>
    <n v="4499.95"/>
  </r>
  <r>
    <s v="TRX0006"/>
    <x v="49"/>
    <s v="CUST007"/>
    <x v="35"/>
    <s v="P005"/>
    <x v="1"/>
    <x v="1"/>
    <n v="2"/>
    <n v="59.99"/>
    <x v="0"/>
    <x v="2"/>
    <x v="2"/>
    <x v="75"/>
    <n v="119.98"/>
  </r>
  <r>
    <s v="TRX0215"/>
    <x v="49"/>
    <s v="CUST047"/>
    <x v="38"/>
    <s v="P009"/>
    <x v="0"/>
    <x v="0"/>
    <n v="4"/>
    <n v="249.99"/>
    <x v="3"/>
    <x v="0"/>
    <x v="2"/>
    <x v="76"/>
    <n v="999.96"/>
  </r>
  <r>
    <s v="TRX0080"/>
    <x v="50"/>
    <s v="CUST018"/>
    <x v="17"/>
    <s v="P009"/>
    <x v="0"/>
    <x v="0"/>
    <n v="2"/>
    <n v="249.99"/>
    <x v="0"/>
    <x v="2"/>
    <x v="1"/>
    <x v="77"/>
    <n v="499.98"/>
  </r>
  <r>
    <s v="TRX0228"/>
    <x v="50"/>
    <s v="CUST019"/>
    <x v="29"/>
    <s v="P007"/>
    <x v="6"/>
    <x v="2"/>
    <n v="1"/>
    <n v="299.99"/>
    <x v="0"/>
    <x v="1"/>
    <x v="0"/>
    <x v="78"/>
    <n v="299.99"/>
  </r>
  <r>
    <s v="TRX0157"/>
    <x v="51"/>
    <s v="CUST025"/>
    <x v="14"/>
    <s v="P010"/>
    <x v="8"/>
    <x v="0"/>
    <n v="2"/>
    <n v="89.99"/>
    <x v="2"/>
    <x v="1"/>
    <x v="0"/>
    <x v="79"/>
    <n v="179.98"/>
  </r>
  <r>
    <s v="TRX0002"/>
    <x v="51"/>
    <s v="CUST019"/>
    <x v="29"/>
    <s v="P007"/>
    <x v="6"/>
    <x v="2"/>
    <n v="3"/>
    <n v="299.99"/>
    <x v="0"/>
    <x v="0"/>
    <x v="0"/>
    <x v="80"/>
    <n v="899.97"/>
  </r>
  <r>
    <s v="TRX0217"/>
    <x v="52"/>
    <s v="CUST025"/>
    <x v="14"/>
    <s v="P002"/>
    <x v="5"/>
    <x v="0"/>
    <n v="2"/>
    <n v="699.99"/>
    <x v="1"/>
    <x v="2"/>
    <x v="1"/>
    <x v="81"/>
    <n v="1399.98"/>
  </r>
  <r>
    <s v="TRX0249"/>
    <x v="53"/>
    <s v="CUST030"/>
    <x v="22"/>
    <s v="P001"/>
    <x v="4"/>
    <x v="0"/>
    <n v="4"/>
    <n v="899.99"/>
    <x v="3"/>
    <x v="1"/>
    <x v="2"/>
    <x v="82"/>
    <n v="3599.96"/>
  </r>
  <r>
    <s v="TRX0065"/>
    <x v="54"/>
    <s v="CUST016"/>
    <x v="39"/>
    <s v="P008"/>
    <x v="2"/>
    <x v="2"/>
    <n v="2"/>
    <n v="149.99"/>
    <x v="1"/>
    <x v="3"/>
    <x v="0"/>
    <x v="83"/>
    <n v="299.98"/>
  </r>
  <r>
    <s v="TRX0176"/>
    <x v="55"/>
    <s v="CUST044"/>
    <x v="19"/>
    <s v="P008"/>
    <x v="2"/>
    <x v="2"/>
    <n v="2"/>
    <n v="149.99"/>
    <x v="3"/>
    <x v="4"/>
    <x v="2"/>
    <x v="84"/>
    <n v="299.98"/>
  </r>
  <r>
    <s v="TRX0101"/>
    <x v="56"/>
    <s v="CUST010"/>
    <x v="15"/>
    <s v="P010"/>
    <x v="8"/>
    <x v="0"/>
    <n v="1"/>
    <n v="89.99"/>
    <x v="1"/>
    <x v="2"/>
    <x v="2"/>
    <x v="85"/>
    <n v="89.99"/>
  </r>
  <r>
    <s v="TRX0205"/>
    <x v="57"/>
    <s v="CUST025"/>
    <x v="14"/>
    <s v="P007"/>
    <x v="6"/>
    <x v="2"/>
    <n v="5"/>
    <n v="299.99"/>
    <x v="1"/>
    <x v="2"/>
    <x v="0"/>
    <x v="86"/>
    <n v="1499.95"/>
  </r>
  <r>
    <s v="TRX0020"/>
    <x v="58"/>
    <s v="CUST007"/>
    <x v="35"/>
    <s v="P003"/>
    <x v="3"/>
    <x v="0"/>
    <n v="4"/>
    <n v="149.99"/>
    <x v="3"/>
    <x v="1"/>
    <x v="1"/>
    <x v="87"/>
    <n v="599.96"/>
  </r>
  <r>
    <s v="TRX0075"/>
    <x v="58"/>
    <s v="CUST020"/>
    <x v="36"/>
    <s v="P009"/>
    <x v="0"/>
    <x v="0"/>
    <n v="5"/>
    <n v="249.99"/>
    <x v="2"/>
    <x v="4"/>
    <x v="1"/>
    <x v="88"/>
    <n v="1249.95"/>
  </r>
  <r>
    <s v="TRX0098"/>
    <x v="58"/>
    <s v="CUST026"/>
    <x v="8"/>
    <s v="P009"/>
    <x v="0"/>
    <x v="0"/>
    <n v="3"/>
    <n v="249.99"/>
    <x v="2"/>
    <x v="2"/>
    <x v="1"/>
    <x v="89"/>
    <n v="749.97"/>
  </r>
  <r>
    <s v="TRX0247"/>
    <x v="58"/>
    <s v="CUST046"/>
    <x v="3"/>
    <s v="P006"/>
    <x v="9"/>
    <x v="2"/>
    <n v="4"/>
    <n v="199.99"/>
    <x v="0"/>
    <x v="2"/>
    <x v="2"/>
    <x v="90"/>
    <n v="799.96"/>
  </r>
  <r>
    <s v="TRX0027"/>
    <x v="59"/>
    <s v="CUST028"/>
    <x v="32"/>
    <s v="P006"/>
    <x v="9"/>
    <x v="2"/>
    <n v="5"/>
    <n v="199.99"/>
    <x v="0"/>
    <x v="2"/>
    <x v="1"/>
    <x v="91"/>
    <n v="999.95"/>
  </r>
  <r>
    <s v="TRX0140"/>
    <x v="60"/>
    <s v="CUST025"/>
    <x v="14"/>
    <s v="P010"/>
    <x v="8"/>
    <x v="0"/>
    <n v="2"/>
    <n v="89.99"/>
    <x v="0"/>
    <x v="4"/>
    <x v="1"/>
    <x v="92"/>
    <n v="179.98"/>
  </r>
  <r>
    <s v="TRX0132"/>
    <x v="61"/>
    <s v="CUST047"/>
    <x v="38"/>
    <s v="P001"/>
    <x v="4"/>
    <x v="0"/>
    <n v="5"/>
    <n v="899.99"/>
    <x v="3"/>
    <x v="4"/>
    <x v="0"/>
    <x v="93"/>
    <n v="4499.95"/>
  </r>
  <r>
    <s v="TRX0031"/>
    <x v="61"/>
    <s v="CUST036"/>
    <x v="20"/>
    <s v="P003"/>
    <x v="3"/>
    <x v="0"/>
    <n v="3"/>
    <n v="149.99"/>
    <x v="2"/>
    <x v="4"/>
    <x v="0"/>
    <x v="94"/>
    <n v="449.97"/>
  </r>
  <r>
    <s v="TRX0236"/>
    <x v="62"/>
    <s v="CUST044"/>
    <x v="19"/>
    <s v="P008"/>
    <x v="2"/>
    <x v="2"/>
    <n v="5"/>
    <n v="149.99"/>
    <x v="1"/>
    <x v="0"/>
    <x v="0"/>
    <x v="95"/>
    <n v="749.95"/>
  </r>
  <r>
    <s v="TRX0001"/>
    <x v="63"/>
    <s v="CUST039"/>
    <x v="40"/>
    <s v="P004"/>
    <x v="7"/>
    <x v="1"/>
    <n v="3"/>
    <n v="79.99"/>
    <x v="0"/>
    <x v="0"/>
    <x v="1"/>
    <x v="96"/>
    <n v="239.97"/>
  </r>
  <r>
    <s v="TRX0037"/>
    <x v="63"/>
    <s v="CUST035"/>
    <x v="28"/>
    <s v="P009"/>
    <x v="0"/>
    <x v="0"/>
    <n v="2"/>
    <n v="249.99"/>
    <x v="0"/>
    <x v="1"/>
    <x v="2"/>
    <x v="97"/>
    <n v="499.98"/>
  </r>
  <r>
    <s v="TRX0058"/>
    <x v="64"/>
    <s v="CUST047"/>
    <x v="38"/>
    <s v="P002"/>
    <x v="5"/>
    <x v="0"/>
    <n v="1"/>
    <n v="699.99"/>
    <x v="0"/>
    <x v="0"/>
    <x v="1"/>
    <x v="98"/>
    <n v="699.99"/>
  </r>
  <r>
    <s v="TRX0170"/>
    <x v="64"/>
    <s v="CUST034"/>
    <x v="41"/>
    <s v="P003"/>
    <x v="3"/>
    <x v="0"/>
    <n v="3"/>
    <n v="149.99"/>
    <x v="0"/>
    <x v="3"/>
    <x v="1"/>
    <x v="99"/>
    <n v="449.97"/>
  </r>
  <r>
    <s v="TRX0248"/>
    <x v="65"/>
    <s v="CUST032"/>
    <x v="42"/>
    <s v="P002"/>
    <x v="5"/>
    <x v="0"/>
    <n v="2"/>
    <n v="699.99"/>
    <x v="1"/>
    <x v="2"/>
    <x v="1"/>
    <x v="63"/>
    <n v="1399.98"/>
  </r>
  <r>
    <s v="TRX0099"/>
    <x v="66"/>
    <s v="CUST034"/>
    <x v="41"/>
    <s v="P009"/>
    <x v="0"/>
    <x v="0"/>
    <n v="1"/>
    <n v="249.99"/>
    <x v="1"/>
    <x v="3"/>
    <x v="1"/>
    <x v="100"/>
    <n v="249.99"/>
  </r>
  <r>
    <s v="TRX0074"/>
    <x v="66"/>
    <s v="CUST023"/>
    <x v="0"/>
    <s v="P009"/>
    <x v="0"/>
    <x v="0"/>
    <n v="1"/>
    <n v="249.99"/>
    <x v="3"/>
    <x v="2"/>
    <x v="1"/>
    <x v="101"/>
    <n v="249.99"/>
  </r>
  <r>
    <s v="TRX0225"/>
    <x v="67"/>
    <s v="CUST039"/>
    <x v="40"/>
    <s v="P002"/>
    <x v="5"/>
    <x v="0"/>
    <n v="2"/>
    <n v="699.99"/>
    <x v="3"/>
    <x v="0"/>
    <x v="1"/>
    <x v="102"/>
    <n v="1399.98"/>
  </r>
  <r>
    <s v="TRX0100"/>
    <x v="68"/>
    <s v="CUST031"/>
    <x v="26"/>
    <s v="P005"/>
    <x v="1"/>
    <x v="1"/>
    <n v="3"/>
    <n v="59.99"/>
    <x v="1"/>
    <x v="0"/>
    <x v="1"/>
    <x v="103"/>
    <n v="179.97"/>
  </r>
  <r>
    <s v="TRX0142"/>
    <x v="69"/>
    <s v="CUST002"/>
    <x v="25"/>
    <s v="P005"/>
    <x v="1"/>
    <x v="1"/>
    <n v="3"/>
    <n v="59.99"/>
    <x v="2"/>
    <x v="4"/>
    <x v="2"/>
    <x v="104"/>
    <n v="179.97"/>
  </r>
  <r>
    <s v="TRX0112"/>
    <x v="69"/>
    <s v="CUST008"/>
    <x v="27"/>
    <s v="P004"/>
    <x v="7"/>
    <x v="1"/>
    <n v="4"/>
    <n v="79.99"/>
    <x v="0"/>
    <x v="2"/>
    <x v="0"/>
    <x v="105"/>
    <n v="319.96"/>
  </r>
  <r>
    <s v="TRX0161"/>
    <x v="70"/>
    <s v="CUST017"/>
    <x v="6"/>
    <s v="P004"/>
    <x v="7"/>
    <x v="1"/>
    <n v="1"/>
    <n v="79.99"/>
    <x v="0"/>
    <x v="3"/>
    <x v="0"/>
    <x v="106"/>
    <n v="79.99"/>
  </r>
  <r>
    <s v="TRX0108"/>
    <x v="71"/>
    <s v="CUST024"/>
    <x v="5"/>
    <s v="P007"/>
    <x v="6"/>
    <x v="2"/>
    <n v="3"/>
    <n v="299.99"/>
    <x v="1"/>
    <x v="0"/>
    <x v="1"/>
    <x v="107"/>
    <n v="899.97"/>
  </r>
  <r>
    <s v="TRX0211"/>
    <x v="72"/>
    <s v="CUST046"/>
    <x v="3"/>
    <s v="P010"/>
    <x v="8"/>
    <x v="0"/>
    <n v="2"/>
    <n v="89.99"/>
    <x v="1"/>
    <x v="1"/>
    <x v="1"/>
    <x v="108"/>
    <n v="179.98"/>
  </r>
  <r>
    <s v="TRX0005"/>
    <x v="73"/>
    <s v="CUST042"/>
    <x v="43"/>
    <s v="P003"/>
    <x v="3"/>
    <x v="0"/>
    <n v="4"/>
    <n v="149.99"/>
    <x v="0"/>
    <x v="2"/>
    <x v="0"/>
    <x v="67"/>
    <n v="599.96"/>
  </r>
  <r>
    <s v="TRX0195"/>
    <x v="74"/>
    <s v="CUST026"/>
    <x v="8"/>
    <s v="P009"/>
    <x v="0"/>
    <x v="0"/>
    <n v="2"/>
    <n v="249.99"/>
    <x v="2"/>
    <x v="1"/>
    <x v="0"/>
    <x v="57"/>
    <n v="499.98"/>
  </r>
  <r>
    <s v="TRX0054"/>
    <x v="74"/>
    <s v="CUST004"/>
    <x v="31"/>
    <s v="P006"/>
    <x v="9"/>
    <x v="2"/>
    <n v="4"/>
    <n v="199.99"/>
    <x v="3"/>
    <x v="4"/>
    <x v="0"/>
    <x v="90"/>
    <n v="799.96"/>
  </r>
  <r>
    <s v="TRX0077"/>
    <x v="75"/>
    <s v="CUST019"/>
    <x v="29"/>
    <s v="P010"/>
    <x v="8"/>
    <x v="0"/>
    <n v="5"/>
    <n v="89.99"/>
    <x v="1"/>
    <x v="4"/>
    <x v="1"/>
    <x v="109"/>
    <n v="449.95"/>
  </r>
  <r>
    <s v="TRX0111"/>
    <x v="75"/>
    <s v="CUST011"/>
    <x v="44"/>
    <s v="P003"/>
    <x v="3"/>
    <x v="0"/>
    <n v="1"/>
    <n v="149.99"/>
    <x v="2"/>
    <x v="4"/>
    <x v="2"/>
    <x v="110"/>
    <n v="149.99"/>
  </r>
  <r>
    <s v="TRX0123"/>
    <x v="75"/>
    <s v="CUST041"/>
    <x v="10"/>
    <s v="P002"/>
    <x v="5"/>
    <x v="0"/>
    <n v="4"/>
    <n v="699.99"/>
    <x v="2"/>
    <x v="1"/>
    <x v="0"/>
    <x v="111"/>
    <n v="2799.96"/>
  </r>
  <r>
    <s v="TRX0177"/>
    <x v="76"/>
    <s v="CUST032"/>
    <x v="42"/>
    <s v="P001"/>
    <x v="4"/>
    <x v="0"/>
    <n v="3"/>
    <n v="899.99"/>
    <x v="1"/>
    <x v="2"/>
    <x v="2"/>
    <x v="112"/>
    <n v="2699.97"/>
  </r>
  <r>
    <s v="TRX0119"/>
    <x v="77"/>
    <s v="CUST014"/>
    <x v="21"/>
    <s v="P008"/>
    <x v="2"/>
    <x v="2"/>
    <n v="3"/>
    <n v="149.99"/>
    <x v="2"/>
    <x v="4"/>
    <x v="0"/>
    <x v="113"/>
    <n v="449.97"/>
  </r>
  <r>
    <s v="TRX0181"/>
    <x v="78"/>
    <s v="CUST012"/>
    <x v="18"/>
    <s v="P007"/>
    <x v="6"/>
    <x v="2"/>
    <n v="2"/>
    <n v="299.99"/>
    <x v="3"/>
    <x v="0"/>
    <x v="0"/>
    <x v="114"/>
    <n v="599.98"/>
  </r>
  <r>
    <s v="TRX0129"/>
    <x v="79"/>
    <s v="CUST015"/>
    <x v="45"/>
    <s v="P006"/>
    <x v="9"/>
    <x v="2"/>
    <n v="1"/>
    <n v="199.99"/>
    <x v="3"/>
    <x v="4"/>
    <x v="2"/>
    <x v="115"/>
    <n v="199.99"/>
  </r>
  <r>
    <s v="TRX0174"/>
    <x v="80"/>
    <s v="CUST003"/>
    <x v="4"/>
    <s v="P007"/>
    <x v="6"/>
    <x v="2"/>
    <n v="4"/>
    <n v="299.99"/>
    <x v="0"/>
    <x v="0"/>
    <x v="1"/>
    <x v="116"/>
    <n v="1199.96"/>
  </r>
  <r>
    <s v="TRX0146"/>
    <x v="81"/>
    <s v="CUST010"/>
    <x v="15"/>
    <s v="P005"/>
    <x v="1"/>
    <x v="1"/>
    <n v="2"/>
    <n v="59.99"/>
    <x v="1"/>
    <x v="0"/>
    <x v="0"/>
    <x v="47"/>
    <n v="119.98"/>
  </r>
  <r>
    <s v="TRX0203"/>
    <x v="81"/>
    <s v="CUST032"/>
    <x v="42"/>
    <s v="P003"/>
    <x v="3"/>
    <x v="0"/>
    <n v="4"/>
    <n v="149.99"/>
    <x v="1"/>
    <x v="2"/>
    <x v="1"/>
    <x v="117"/>
    <n v="599.96"/>
  </r>
  <r>
    <s v="TRX0055"/>
    <x v="82"/>
    <s v="CUST016"/>
    <x v="39"/>
    <s v="P002"/>
    <x v="5"/>
    <x v="0"/>
    <n v="2"/>
    <n v="699.99"/>
    <x v="3"/>
    <x v="4"/>
    <x v="1"/>
    <x v="118"/>
    <n v="1399.98"/>
  </r>
  <r>
    <s v="TRX0218"/>
    <x v="82"/>
    <s v="CUST034"/>
    <x v="41"/>
    <s v="P008"/>
    <x v="2"/>
    <x v="2"/>
    <n v="3"/>
    <n v="149.99"/>
    <x v="1"/>
    <x v="1"/>
    <x v="2"/>
    <x v="119"/>
    <n v="449.97"/>
  </r>
  <r>
    <s v="TRX0085"/>
    <x v="83"/>
    <s v="CUST019"/>
    <x v="29"/>
    <s v="P007"/>
    <x v="6"/>
    <x v="2"/>
    <n v="3"/>
    <n v="299.99"/>
    <x v="1"/>
    <x v="0"/>
    <x v="2"/>
    <x v="120"/>
    <n v="899.97"/>
  </r>
  <r>
    <s v="TRX0158"/>
    <x v="84"/>
    <s v="CUST027"/>
    <x v="13"/>
    <s v="P001"/>
    <x v="4"/>
    <x v="0"/>
    <n v="3"/>
    <n v="899.99"/>
    <x v="2"/>
    <x v="3"/>
    <x v="0"/>
    <x v="121"/>
    <n v="2699.97"/>
  </r>
  <r>
    <s v="TRX0173"/>
    <x v="85"/>
    <s v="CUST018"/>
    <x v="17"/>
    <s v="P002"/>
    <x v="5"/>
    <x v="0"/>
    <n v="5"/>
    <n v="699.99"/>
    <x v="0"/>
    <x v="4"/>
    <x v="2"/>
    <x v="122"/>
    <n v="3499.95"/>
  </r>
  <r>
    <s v="TRX0034"/>
    <x v="85"/>
    <s v="CUST049"/>
    <x v="34"/>
    <s v="P002"/>
    <x v="5"/>
    <x v="0"/>
    <n v="4"/>
    <n v="699.99"/>
    <x v="1"/>
    <x v="0"/>
    <x v="0"/>
    <x v="123"/>
    <n v="2799.96"/>
  </r>
  <r>
    <s v="TRX0189"/>
    <x v="85"/>
    <s v="CUST040"/>
    <x v="30"/>
    <s v="P001"/>
    <x v="4"/>
    <x v="0"/>
    <n v="1"/>
    <n v="899.99"/>
    <x v="1"/>
    <x v="4"/>
    <x v="2"/>
    <x v="124"/>
    <n v="899.99"/>
  </r>
  <r>
    <s v="TRX0190"/>
    <x v="86"/>
    <s v="CUST039"/>
    <x v="40"/>
    <s v="P003"/>
    <x v="3"/>
    <x v="0"/>
    <n v="2"/>
    <n v="149.99"/>
    <x v="1"/>
    <x v="3"/>
    <x v="0"/>
    <x v="125"/>
    <n v="299.98"/>
  </r>
  <r>
    <s v="TRX0079"/>
    <x v="87"/>
    <s v="CUST039"/>
    <x v="40"/>
    <s v="P010"/>
    <x v="8"/>
    <x v="0"/>
    <n v="3"/>
    <n v="89.99"/>
    <x v="2"/>
    <x v="0"/>
    <x v="0"/>
    <x v="126"/>
    <n v="269.97"/>
  </r>
  <r>
    <s v="TRX0095"/>
    <x v="88"/>
    <s v="CUST046"/>
    <x v="3"/>
    <s v="P003"/>
    <x v="3"/>
    <x v="0"/>
    <n v="2"/>
    <n v="149.99"/>
    <x v="2"/>
    <x v="0"/>
    <x v="0"/>
    <x v="127"/>
    <n v="299.98"/>
  </r>
  <r>
    <s v="TRX0009"/>
    <x v="88"/>
    <s v="CUST004"/>
    <x v="31"/>
    <s v="P002"/>
    <x v="5"/>
    <x v="0"/>
    <n v="2"/>
    <n v="699.99"/>
    <x v="0"/>
    <x v="0"/>
    <x v="0"/>
    <x v="128"/>
    <n v="1399.98"/>
  </r>
  <r>
    <s v="TRX0167"/>
    <x v="89"/>
    <s v="CUST028"/>
    <x v="32"/>
    <s v="P002"/>
    <x v="5"/>
    <x v="0"/>
    <n v="5"/>
    <n v="699.99"/>
    <x v="0"/>
    <x v="2"/>
    <x v="1"/>
    <x v="129"/>
    <n v="3499.95"/>
  </r>
  <r>
    <s v="TRX0153"/>
    <x v="90"/>
    <s v="CUST049"/>
    <x v="34"/>
    <s v="P010"/>
    <x v="8"/>
    <x v="0"/>
    <n v="3"/>
    <n v="89.99"/>
    <x v="1"/>
    <x v="2"/>
    <x v="2"/>
    <x v="130"/>
    <n v="269.97"/>
  </r>
  <r>
    <s v="TRX0057"/>
    <x v="91"/>
    <s v="CUST023"/>
    <x v="0"/>
    <s v="P009"/>
    <x v="0"/>
    <x v="0"/>
    <n v="5"/>
    <n v="249.99"/>
    <x v="1"/>
    <x v="1"/>
    <x v="2"/>
    <x v="131"/>
    <n v="1249.95"/>
  </r>
  <r>
    <s v="TRX0017"/>
    <x v="92"/>
    <s v="CUST026"/>
    <x v="8"/>
    <s v="P007"/>
    <x v="6"/>
    <x v="2"/>
    <n v="3"/>
    <n v="299.99"/>
    <x v="1"/>
    <x v="1"/>
    <x v="2"/>
    <x v="132"/>
    <n v="899.97"/>
  </r>
  <r>
    <s v="TRX0060"/>
    <x v="93"/>
    <s v="CUST012"/>
    <x v="18"/>
    <s v="P010"/>
    <x v="8"/>
    <x v="0"/>
    <n v="3"/>
    <n v="89.99"/>
    <x v="1"/>
    <x v="2"/>
    <x v="1"/>
    <x v="133"/>
    <n v="269.97"/>
  </r>
  <r>
    <s v="TRX0109"/>
    <x v="94"/>
    <s v="CUST010"/>
    <x v="15"/>
    <s v="P008"/>
    <x v="2"/>
    <x v="2"/>
    <n v="2"/>
    <n v="149.99"/>
    <x v="1"/>
    <x v="3"/>
    <x v="1"/>
    <x v="134"/>
    <n v="299.98"/>
  </r>
  <r>
    <s v="TRX0090"/>
    <x v="95"/>
    <s v="CUST020"/>
    <x v="36"/>
    <s v="P009"/>
    <x v="0"/>
    <x v="0"/>
    <n v="1"/>
    <n v="249.99"/>
    <x v="1"/>
    <x v="2"/>
    <x v="1"/>
    <x v="135"/>
    <n v="249.99"/>
  </r>
  <r>
    <s v="TRX0035"/>
    <x v="96"/>
    <s v="CUST041"/>
    <x v="10"/>
    <s v="P003"/>
    <x v="3"/>
    <x v="0"/>
    <n v="3"/>
    <n v="149.99"/>
    <x v="0"/>
    <x v="2"/>
    <x v="0"/>
    <x v="136"/>
    <n v="449.97"/>
  </r>
  <r>
    <s v="TRX0172"/>
    <x v="96"/>
    <s v="CUST023"/>
    <x v="0"/>
    <s v="P005"/>
    <x v="1"/>
    <x v="1"/>
    <n v="5"/>
    <n v="59.99"/>
    <x v="2"/>
    <x v="3"/>
    <x v="1"/>
    <x v="137"/>
    <n v="299.95"/>
  </r>
  <r>
    <s v="TRX0076"/>
    <x v="96"/>
    <s v="CUST012"/>
    <x v="18"/>
    <s v="P009"/>
    <x v="0"/>
    <x v="0"/>
    <n v="4"/>
    <n v="249.99"/>
    <x v="1"/>
    <x v="3"/>
    <x v="2"/>
    <x v="138"/>
    <n v="999.96"/>
  </r>
  <r>
    <s v="TRX0210"/>
    <x v="97"/>
    <s v="CUST004"/>
    <x v="31"/>
    <s v="P008"/>
    <x v="2"/>
    <x v="2"/>
    <n v="5"/>
    <n v="149.99"/>
    <x v="2"/>
    <x v="0"/>
    <x v="0"/>
    <x v="139"/>
    <n v="749.95"/>
  </r>
  <r>
    <s v="TRX0149"/>
    <x v="97"/>
    <s v="CUST027"/>
    <x v="13"/>
    <s v="P005"/>
    <x v="1"/>
    <x v="1"/>
    <n v="3"/>
    <n v="59.99"/>
    <x v="3"/>
    <x v="1"/>
    <x v="2"/>
    <x v="140"/>
    <n v="179.97"/>
  </r>
  <r>
    <s v="TRX0073"/>
    <x v="98"/>
    <s v="CUST032"/>
    <x v="42"/>
    <s v="P008"/>
    <x v="2"/>
    <x v="2"/>
    <n v="5"/>
    <n v="149.99"/>
    <x v="0"/>
    <x v="2"/>
    <x v="0"/>
    <x v="141"/>
    <n v="749.95"/>
  </r>
  <r>
    <s v="TRX0033"/>
    <x v="98"/>
    <s v="CUST025"/>
    <x v="14"/>
    <s v="P002"/>
    <x v="5"/>
    <x v="0"/>
    <n v="2"/>
    <n v="699.99"/>
    <x v="2"/>
    <x v="3"/>
    <x v="2"/>
    <x v="142"/>
    <n v="1399.98"/>
  </r>
  <r>
    <s v="TRX0160"/>
    <x v="99"/>
    <s v="CUST029"/>
    <x v="23"/>
    <s v="P006"/>
    <x v="9"/>
    <x v="2"/>
    <n v="4"/>
    <n v="199.99"/>
    <x v="3"/>
    <x v="0"/>
    <x v="1"/>
    <x v="143"/>
    <n v="799.96"/>
  </r>
  <r>
    <s v="TRX0145"/>
    <x v="100"/>
    <s v="CUST033"/>
    <x v="37"/>
    <s v="P005"/>
    <x v="1"/>
    <x v="1"/>
    <n v="1"/>
    <n v="59.99"/>
    <x v="3"/>
    <x v="3"/>
    <x v="2"/>
    <x v="144"/>
    <n v="59.99"/>
  </r>
  <r>
    <s v="TRX0148"/>
    <x v="100"/>
    <s v="CUST004"/>
    <x v="31"/>
    <s v="P002"/>
    <x v="5"/>
    <x v="0"/>
    <n v="3"/>
    <n v="699.99"/>
    <x v="2"/>
    <x v="3"/>
    <x v="2"/>
    <x v="145"/>
    <n v="2099.97"/>
  </r>
  <r>
    <s v="TRX0012"/>
    <x v="101"/>
    <s v="CUST045"/>
    <x v="46"/>
    <s v="P009"/>
    <x v="0"/>
    <x v="0"/>
    <n v="5"/>
    <n v="249.99"/>
    <x v="1"/>
    <x v="2"/>
    <x v="0"/>
    <x v="146"/>
    <n v="1249.95"/>
  </r>
  <r>
    <s v="TRX0206"/>
    <x v="102"/>
    <s v="CUST014"/>
    <x v="21"/>
    <s v="P008"/>
    <x v="2"/>
    <x v="2"/>
    <n v="2"/>
    <n v="149.99"/>
    <x v="0"/>
    <x v="1"/>
    <x v="2"/>
    <x v="147"/>
    <n v="299.98"/>
  </r>
  <r>
    <s v="TRX0045"/>
    <x v="103"/>
    <s v="CUST021"/>
    <x v="2"/>
    <s v="P007"/>
    <x v="6"/>
    <x v="2"/>
    <n v="3"/>
    <n v="299.99"/>
    <x v="0"/>
    <x v="1"/>
    <x v="1"/>
    <x v="138"/>
    <n v="899.97"/>
  </r>
  <r>
    <s v="TRX0094"/>
    <x v="103"/>
    <s v="CUST017"/>
    <x v="6"/>
    <s v="P009"/>
    <x v="0"/>
    <x v="0"/>
    <n v="5"/>
    <n v="249.99"/>
    <x v="0"/>
    <x v="0"/>
    <x v="1"/>
    <x v="148"/>
    <n v="1249.95"/>
  </r>
  <r>
    <s v="TRX0133"/>
    <x v="103"/>
    <s v="CUST013"/>
    <x v="1"/>
    <s v="P003"/>
    <x v="3"/>
    <x v="0"/>
    <n v="2"/>
    <n v="149.99"/>
    <x v="0"/>
    <x v="1"/>
    <x v="1"/>
    <x v="149"/>
    <n v="299.98"/>
  </r>
  <r>
    <s v="TRX0201"/>
    <x v="103"/>
    <s v="CUST025"/>
    <x v="14"/>
    <s v="P002"/>
    <x v="5"/>
    <x v="0"/>
    <n v="5"/>
    <n v="699.99"/>
    <x v="3"/>
    <x v="3"/>
    <x v="2"/>
    <x v="150"/>
    <n v="3499.95"/>
  </r>
  <r>
    <s v="TRX0137"/>
    <x v="104"/>
    <s v="CUST011"/>
    <x v="44"/>
    <s v="P009"/>
    <x v="0"/>
    <x v="0"/>
    <n v="4"/>
    <n v="249.99"/>
    <x v="2"/>
    <x v="4"/>
    <x v="1"/>
    <x v="151"/>
    <n v="999.96"/>
  </r>
  <r>
    <s v="TRX0066"/>
    <x v="105"/>
    <s v="CUST024"/>
    <x v="5"/>
    <s v="P002"/>
    <x v="5"/>
    <x v="0"/>
    <n v="4"/>
    <n v="699.99"/>
    <x v="1"/>
    <x v="2"/>
    <x v="1"/>
    <x v="152"/>
    <n v="2799.96"/>
  </r>
  <r>
    <s v="TRX0180"/>
    <x v="106"/>
    <s v="CUST036"/>
    <x v="20"/>
    <s v="P009"/>
    <x v="0"/>
    <x v="0"/>
    <n v="2"/>
    <n v="249.99"/>
    <x v="1"/>
    <x v="0"/>
    <x v="1"/>
    <x v="153"/>
    <n v="499.98"/>
  </r>
  <r>
    <s v="TRX0082"/>
    <x v="106"/>
    <s v="CUST005"/>
    <x v="47"/>
    <s v="P005"/>
    <x v="1"/>
    <x v="1"/>
    <n v="3"/>
    <n v="59.99"/>
    <x v="0"/>
    <x v="0"/>
    <x v="1"/>
    <x v="154"/>
    <n v="179.97"/>
  </r>
  <r>
    <s v="TRX0036"/>
    <x v="106"/>
    <s v="CUST008"/>
    <x v="27"/>
    <s v="P004"/>
    <x v="7"/>
    <x v="1"/>
    <n v="4"/>
    <n v="79.99"/>
    <x v="3"/>
    <x v="4"/>
    <x v="2"/>
    <x v="155"/>
    <n v="319.96"/>
  </r>
  <r>
    <s v="TRX0198"/>
    <x v="107"/>
    <s v="CUST030"/>
    <x v="22"/>
    <s v="P004"/>
    <x v="7"/>
    <x v="1"/>
    <n v="3"/>
    <n v="79.99"/>
    <x v="3"/>
    <x v="4"/>
    <x v="2"/>
    <x v="96"/>
    <n v="239.97"/>
  </r>
  <r>
    <s v="TRX0032"/>
    <x v="108"/>
    <s v="CUST041"/>
    <x v="10"/>
    <s v="P001"/>
    <x v="4"/>
    <x v="0"/>
    <n v="2"/>
    <n v="899.99"/>
    <x v="0"/>
    <x v="2"/>
    <x v="0"/>
    <x v="156"/>
    <n v="1799.98"/>
  </r>
  <r>
    <s v="TRX0081"/>
    <x v="109"/>
    <s v="CUST007"/>
    <x v="35"/>
    <s v="P008"/>
    <x v="2"/>
    <x v="2"/>
    <n v="1"/>
    <n v="149.99"/>
    <x v="3"/>
    <x v="4"/>
    <x v="2"/>
    <x v="157"/>
    <n v="149.99"/>
  </r>
  <r>
    <s v="TRX0224"/>
    <x v="109"/>
    <s v="CUST031"/>
    <x v="26"/>
    <s v="P007"/>
    <x v="6"/>
    <x v="2"/>
    <n v="2"/>
    <n v="299.99"/>
    <x v="0"/>
    <x v="4"/>
    <x v="1"/>
    <x v="158"/>
    <n v="599.98"/>
  </r>
  <r>
    <s v="TRX0028"/>
    <x v="110"/>
    <s v="CUST002"/>
    <x v="25"/>
    <s v="P005"/>
    <x v="1"/>
    <x v="1"/>
    <n v="2"/>
    <n v="59.99"/>
    <x v="0"/>
    <x v="3"/>
    <x v="0"/>
    <x v="159"/>
    <n v="119.98"/>
  </r>
  <r>
    <s v="TRX0183"/>
    <x v="111"/>
    <s v="CUST007"/>
    <x v="35"/>
    <s v="P010"/>
    <x v="8"/>
    <x v="0"/>
    <n v="1"/>
    <n v="89.99"/>
    <x v="3"/>
    <x v="0"/>
    <x v="2"/>
    <x v="160"/>
    <n v="89.99"/>
  </r>
  <r>
    <s v="TRX0163"/>
    <x v="111"/>
    <s v="CUST019"/>
    <x v="29"/>
    <s v="P001"/>
    <x v="4"/>
    <x v="0"/>
    <n v="5"/>
    <n v="899.99"/>
    <x v="3"/>
    <x v="4"/>
    <x v="2"/>
    <x v="161"/>
    <n v="4499.95"/>
  </r>
  <r>
    <s v="TRX0046"/>
    <x v="112"/>
    <s v="CUST003"/>
    <x v="4"/>
    <s v="P008"/>
    <x v="2"/>
    <x v="2"/>
    <n v="2"/>
    <n v="149.99"/>
    <x v="0"/>
    <x v="1"/>
    <x v="0"/>
    <x v="162"/>
    <n v="299.98"/>
  </r>
  <r>
    <s v="TRX0164"/>
    <x v="113"/>
    <s v="CUST014"/>
    <x v="21"/>
    <s v="P003"/>
    <x v="3"/>
    <x v="0"/>
    <n v="2"/>
    <n v="149.99"/>
    <x v="3"/>
    <x v="3"/>
    <x v="1"/>
    <x v="163"/>
    <n v="299.98"/>
  </r>
  <r>
    <s v="TRX0008"/>
    <x v="113"/>
    <s v="CUST007"/>
    <x v="35"/>
    <s v="P008"/>
    <x v="2"/>
    <x v="2"/>
    <n v="3"/>
    <n v="149.99"/>
    <x v="3"/>
    <x v="2"/>
    <x v="2"/>
    <x v="164"/>
    <n v="449.97"/>
  </r>
  <r>
    <s v="TRX0171"/>
    <x v="114"/>
    <s v="CUST021"/>
    <x v="2"/>
    <s v="P007"/>
    <x v="6"/>
    <x v="2"/>
    <n v="2"/>
    <n v="299.99"/>
    <x v="2"/>
    <x v="1"/>
    <x v="0"/>
    <x v="165"/>
    <n v="599.98"/>
  </r>
  <r>
    <s v="TRX0143"/>
    <x v="115"/>
    <s v="CUST003"/>
    <x v="4"/>
    <s v="P007"/>
    <x v="6"/>
    <x v="2"/>
    <n v="2"/>
    <n v="299.99"/>
    <x v="0"/>
    <x v="3"/>
    <x v="0"/>
    <x v="166"/>
    <n v="599.98"/>
  </r>
  <r>
    <s v="TRX0165"/>
    <x v="115"/>
    <s v="CUST030"/>
    <x v="22"/>
    <s v="P006"/>
    <x v="9"/>
    <x v="2"/>
    <n v="4"/>
    <n v="199.99"/>
    <x v="1"/>
    <x v="0"/>
    <x v="0"/>
    <x v="82"/>
    <n v="799.96"/>
  </r>
  <r>
    <s v="TRX0156"/>
    <x v="116"/>
    <s v="CUST009"/>
    <x v="7"/>
    <s v="P010"/>
    <x v="8"/>
    <x v="0"/>
    <n v="1"/>
    <n v="89.99"/>
    <x v="1"/>
    <x v="1"/>
    <x v="1"/>
    <x v="167"/>
    <n v="89.99"/>
  </r>
  <r>
    <s v="TRX0147"/>
    <x v="116"/>
    <s v="CUST036"/>
    <x v="20"/>
    <s v="P008"/>
    <x v="2"/>
    <x v="2"/>
    <n v="5"/>
    <n v="149.99"/>
    <x v="0"/>
    <x v="0"/>
    <x v="1"/>
    <x v="168"/>
    <n v="749.95"/>
  </r>
  <r>
    <s v="TRX0207"/>
    <x v="117"/>
    <s v="CUST025"/>
    <x v="14"/>
    <s v="P001"/>
    <x v="4"/>
    <x v="0"/>
    <n v="1"/>
    <n v="899.99"/>
    <x v="2"/>
    <x v="2"/>
    <x v="1"/>
    <x v="169"/>
    <n v="899.99"/>
  </r>
  <r>
    <s v="TRX0056"/>
    <x v="118"/>
    <s v="CUST019"/>
    <x v="29"/>
    <s v="P010"/>
    <x v="8"/>
    <x v="0"/>
    <n v="2"/>
    <n v="89.99"/>
    <x v="1"/>
    <x v="1"/>
    <x v="1"/>
    <x v="170"/>
    <n v="179.98"/>
  </r>
  <r>
    <s v="TRX0026"/>
    <x v="119"/>
    <s v="CUST037"/>
    <x v="48"/>
    <s v="P001"/>
    <x v="4"/>
    <x v="0"/>
    <n v="1"/>
    <n v="899.99"/>
    <x v="2"/>
    <x v="2"/>
    <x v="2"/>
    <x v="171"/>
    <n v="899.99"/>
  </r>
  <r>
    <s v="TRX0237"/>
    <x v="120"/>
    <s v="CUST006"/>
    <x v="24"/>
    <s v="P003"/>
    <x v="3"/>
    <x v="0"/>
    <n v="5"/>
    <n v="149.99"/>
    <x v="2"/>
    <x v="4"/>
    <x v="1"/>
    <x v="34"/>
    <n v="749.95"/>
  </r>
  <r>
    <s v="TRX0091"/>
    <x v="120"/>
    <s v="CUST003"/>
    <x v="4"/>
    <s v="P007"/>
    <x v="6"/>
    <x v="2"/>
    <n v="3"/>
    <n v="299.99"/>
    <x v="0"/>
    <x v="1"/>
    <x v="2"/>
    <x v="172"/>
    <n v="899.97"/>
  </r>
  <r>
    <s v="TRX0125"/>
    <x v="121"/>
    <s v="CUST026"/>
    <x v="8"/>
    <s v="P002"/>
    <x v="5"/>
    <x v="0"/>
    <n v="3"/>
    <n v="699.99"/>
    <x v="1"/>
    <x v="0"/>
    <x v="1"/>
    <x v="173"/>
    <n v="2099.97"/>
  </r>
  <r>
    <s v="TRX0223"/>
    <x v="122"/>
    <s v="CUST036"/>
    <x v="20"/>
    <s v="P006"/>
    <x v="9"/>
    <x v="2"/>
    <n v="5"/>
    <n v="199.99"/>
    <x v="2"/>
    <x v="0"/>
    <x v="2"/>
    <x v="174"/>
    <n v="999.95"/>
  </r>
  <r>
    <s v="TRX0243"/>
    <x v="122"/>
    <s v="CUST048"/>
    <x v="16"/>
    <s v="P009"/>
    <x v="0"/>
    <x v="0"/>
    <n v="5"/>
    <n v="249.99"/>
    <x v="1"/>
    <x v="1"/>
    <x v="0"/>
    <x v="175"/>
    <n v="1249.95"/>
  </r>
  <r>
    <s v="TRX0084"/>
    <x v="123"/>
    <s v="CUST031"/>
    <x v="26"/>
    <s v="P003"/>
    <x v="3"/>
    <x v="0"/>
    <n v="4"/>
    <n v="149.99"/>
    <x v="3"/>
    <x v="4"/>
    <x v="2"/>
    <x v="176"/>
    <n v="599.96"/>
  </r>
  <r>
    <s v="TRX0238"/>
    <x v="123"/>
    <s v="CUST038"/>
    <x v="12"/>
    <s v="P002"/>
    <x v="5"/>
    <x v="0"/>
    <n v="3"/>
    <n v="699.99"/>
    <x v="0"/>
    <x v="2"/>
    <x v="1"/>
    <x v="177"/>
    <n v="2099.97"/>
  </r>
  <r>
    <s v="TRX0102"/>
    <x v="124"/>
    <s v="CUST045"/>
    <x v="46"/>
    <s v="P004"/>
    <x v="7"/>
    <x v="1"/>
    <n v="1"/>
    <n v="79.99"/>
    <x v="1"/>
    <x v="1"/>
    <x v="0"/>
    <x v="178"/>
    <n v="79.99"/>
  </r>
  <r>
    <s v="TRX0022"/>
    <x v="124"/>
    <s v="CUST025"/>
    <x v="14"/>
    <s v="P007"/>
    <x v="6"/>
    <x v="2"/>
    <n v="1"/>
    <n v="299.99"/>
    <x v="1"/>
    <x v="2"/>
    <x v="0"/>
    <x v="179"/>
    <n v="299.99"/>
  </r>
  <r>
    <s v="TRX0087"/>
    <x v="125"/>
    <s v="CUST028"/>
    <x v="32"/>
    <s v="P009"/>
    <x v="0"/>
    <x v="0"/>
    <n v="4"/>
    <n v="249.99"/>
    <x v="1"/>
    <x v="2"/>
    <x v="1"/>
    <x v="116"/>
    <n v="999.96"/>
  </r>
  <r>
    <s v="TRX0107"/>
    <x v="125"/>
    <s v="CUST030"/>
    <x v="22"/>
    <s v="P003"/>
    <x v="3"/>
    <x v="0"/>
    <n v="2"/>
    <n v="149.99"/>
    <x v="0"/>
    <x v="2"/>
    <x v="2"/>
    <x v="180"/>
    <n v="299.98"/>
  </r>
  <r>
    <s v="TRX0051"/>
    <x v="125"/>
    <s v="CUST032"/>
    <x v="42"/>
    <s v="P007"/>
    <x v="6"/>
    <x v="2"/>
    <n v="3"/>
    <n v="299.99"/>
    <x v="1"/>
    <x v="1"/>
    <x v="0"/>
    <x v="181"/>
    <n v="899.97"/>
  </r>
  <r>
    <s v="TRX0106"/>
    <x v="126"/>
    <s v="CUST039"/>
    <x v="40"/>
    <s v="P006"/>
    <x v="9"/>
    <x v="2"/>
    <n v="4"/>
    <n v="199.99"/>
    <x v="3"/>
    <x v="1"/>
    <x v="2"/>
    <x v="182"/>
    <n v="799.96"/>
  </r>
  <r>
    <s v="TRX0059"/>
    <x v="126"/>
    <s v="CUST016"/>
    <x v="39"/>
    <s v="P007"/>
    <x v="6"/>
    <x v="2"/>
    <n v="5"/>
    <n v="299.99"/>
    <x v="3"/>
    <x v="0"/>
    <x v="0"/>
    <x v="183"/>
    <n v="1499.95"/>
  </r>
  <r>
    <s v="TRX0072"/>
    <x v="126"/>
    <s v="CUST009"/>
    <x v="7"/>
    <s v="P008"/>
    <x v="2"/>
    <x v="2"/>
    <n v="3"/>
    <n v="149.99"/>
    <x v="1"/>
    <x v="4"/>
    <x v="2"/>
    <x v="184"/>
    <n v="449.97"/>
  </r>
  <r>
    <s v="TRX0110"/>
    <x v="127"/>
    <s v="CUST006"/>
    <x v="24"/>
    <s v="P005"/>
    <x v="1"/>
    <x v="1"/>
    <n v="5"/>
    <n v="59.99"/>
    <x v="3"/>
    <x v="4"/>
    <x v="0"/>
    <x v="185"/>
    <n v="299.95"/>
  </r>
  <r>
    <s v="TRX0126"/>
    <x v="128"/>
    <s v="CUST022"/>
    <x v="9"/>
    <s v="P005"/>
    <x v="1"/>
    <x v="1"/>
    <n v="4"/>
    <n v="59.99"/>
    <x v="3"/>
    <x v="4"/>
    <x v="2"/>
    <x v="170"/>
    <n v="239.96"/>
  </r>
  <r>
    <s v="TRX0159"/>
    <x v="129"/>
    <s v="CUST024"/>
    <x v="5"/>
    <s v="P009"/>
    <x v="0"/>
    <x v="0"/>
    <n v="4"/>
    <n v="249.99"/>
    <x v="3"/>
    <x v="0"/>
    <x v="1"/>
    <x v="186"/>
    <n v="999.96"/>
  </r>
  <r>
    <s v="TRX0030"/>
    <x v="130"/>
    <s v="CUST011"/>
    <x v="44"/>
    <s v="P001"/>
    <x v="4"/>
    <x v="0"/>
    <n v="4"/>
    <n v="899.99"/>
    <x v="2"/>
    <x v="0"/>
    <x v="0"/>
    <x v="187"/>
    <n v="3599.96"/>
  </r>
  <r>
    <s v="TRX0178"/>
    <x v="130"/>
    <s v="CUST025"/>
    <x v="14"/>
    <s v="P007"/>
    <x v="6"/>
    <x v="2"/>
    <n v="3"/>
    <n v="299.99"/>
    <x v="3"/>
    <x v="3"/>
    <x v="2"/>
    <x v="188"/>
    <n v="899.97"/>
  </r>
  <r>
    <s v="TRX0188"/>
    <x v="130"/>
    <s v="CUST045"/>
    <x v="46"/>
    <s v="P002"/>
    <x v="5"/>
    <x v="0"/>
    <n v="2"/>
    <n v="699.99"/>
    <x v="3"/>
    <x v="0"/>
    <x v="1"/>
    <x v="189"/>
    <n v="1399.98"/>
  </r>
  <r>
    <s v="TRX0010"/>
    <x v="131"/>
    <s v="CUST026"/>
    <x v="8"/>
    <s v="P002"/>
    <x v="5"/>
    <x v="0"/>
    <n v="4"/>
    <n v="699.99"/>
    <x v="3"/>
    <x v="3"/>
    <x v="1"/>
    <x v="190"/>
    <n v="2799.96"/>
  </r>
  <r>
    <s v="TRX0069"/>
    <x v="131"/>
    <s v="CUST029"/>
    <x v="23"/>
    <s v="P010"/>
    <x v="8"/>
    <x v="0"/>
    <n v="2"/>
    <n v="89.99"/>
    <x v="3"/>
    <x v="1"/>
    <x v="0"/>
    <x v="191"/>
    <n v="179.98"/>
  </r>
  <r>
    <s v="TRX0166"/>
    <x v="131"/>
    <s v="CUST003"/>
    <x v="4"/>
    <s v="P010"/>
    <x v="8"/>
    <x v="0"/>
    <n v="3"/>
    <n v="89.99"/>
    <x v="3"/>
    <x v="1"/>
    <x v="1"/>
    <x v="192"/>
    <n v="269.97"/>
  </r>
  <r>
    <s v="TRX0219"/>
    <x v="132"/>
    <s v="CUST037"/>
    <x v="48"/>
    <s v="P005"/>
    <x v="1"/>
    <x v="1"/>
    <n v="1"/>
    <n v="59.99"/>
    <x v="3"/>
    <x v="0"/>
    <x v="2"/>
    <x v="193"/>
    <n v="59.99"/>
  </r>
  <r>
    <s v="TRX0024"/>
    <x v="133"/>
    <s v="CUST042"/>
    <x v="43"/>
    <s v="P008"/>
    <x v="2"/>
    <x v="2"/>
    <n v="3"/>
    <n v="149.99"/>
    <x v="3"/>
    <x v="2"/>
    <x v="1"/>
    <x v="170"/>
    <n v="449.97"/>
  </r>
  <r>
    <s v="TRX0105"/>
    <x v="133"/>
    <s v="CUST048"/>
    <x v="16"/>
    <s v="P007"/>
    <x v="6"/>
    <x v="2"/>
    <n v="5"/>
    <n v="299.99"/>
    <x v="1"/>
    <x v="1"/>
    <x v="0"/>
    <x v="194"/>
    <n v="1499.95"/>
  </r>
  <r>
    <s v="TRX0011"/>
    <x v="134"/>
    <s v="CUST040"/>
    <x v="30"/>
    <s v="P005"/>
    <x v="1"/>
    <x v="1"/>
    <n v="5"/>
    <n v="59.99"/>
    <x v="3"/>
    <x v="0"/>
    <x v="2"/>
    <x v="195"/>
    <n v="299.95"/>
  </r>
  <r>
    <s v="TRX0187"/>
    <x v="135"/>
    <s v="CUST036"/>
    <x v="20"/>
    <s v="P004"/>
    <x v="7"/>
    <x v="1"/>
    <n v="3"/>
    <n v="79.99"/>
    <x v="0"/>
    <x v="4"/>
    <x v="1"/>
    <x v="179"/>
    <n v="239.97"/>
  </r>
  <r>
    <s v="TRX0089"/>
    <x v="136"/>
    <s v="CUST021"/>
    <x v="2"/>
    <s v="P006"/>
    <x v="9"/>
    <x v="2"/>
    <n v="3"/>
    <n v="199.99"/>
    <x v="0"/>
    <x v="0"/>
    <x v="0"/>
    <x v="196"/>
    <n v="599.97"/>
  </r>
  <r>
    <s v="TRX0196"/>
    <x v="136"/>
    <s v="CUST023"/>
    <x v="0"/>
    <s v="P010"/>
    <x v="8"/>
    <x v="0"/>
    <n v="2"/>
    <n v="89.99"/>
    <x v="2"/>
    <x v="0"/>
    <x v="0"/>
    <x v="197"/>
    <n v="179.98"/>
  </r>
  <r>
    <s v="TRX0118"/>
    <x v="137"/>
    <s v="CUST015"/>
    <x v="45"/>
    <s v="P008"/>
    <x v="2"/>
    <x v="2"/>
    <n v="2"/>
    <n v="149.99"/>
    <x v="0"/>
    <x v="1"/>
    <x v="1"/>
    <x v="198"/>
    <n v="299.98"/>
  </r>
  <r>
    <s v="TRX0179"/>
    <x v="138"/>
    <s v="CUST029"/>
    <x v="23"/>
    <s v="P002"/>
    <x v="5"/>
    <x v="0"/>
    <n v="5"/>
    <n v="699.99"/>
    <x v="2"/>
    <x v="1"/>
    <x v="1"/>
    <x v="54"/>
    <n v="3499.95"/>
  </r>
  <r>
    <s v="TRX0168"/>
    <x v="138"/>
    <s v="CUST003"/>
    <x v="4"/>
    <s v="P008"/>
    <x v="2"/>
    <x v="2"/>
    <n v="3"/>
    <n v="149.99"/>
    <x v="2"/>
    <x v="0"/>
    <x v="2"/>
    <x v="174"/>
    <n v="449.97"/>
  </r>
  <r>
    <s v="TRX0214"/>
    <x v="139"/>
    <s v="CUST018"/>
    <x v="17"/>
    <s v="P001"/>
    <x v="4"/>
    <x v="0"/>
    <n v="3"/>
    <n v="899.99"/>
    <x v="0"/>
    <x v="4"/>
    <x v="2"/>
    <x v="199"/>
    <n v="2699.97"/>
  </r>
  <r>
    <s v="TRX0221"/>
    <x v="139"/>
    <s v="CUST033"/>
    <x v="37"/>
    <s v="P006"/>
    <x v="9"/>
    <x v="2"/>
    <n v="3"/>
    <n v="199.99"/>
    <x v="0"/>
    <x v="3"/>
    <x v="1"/>
    <x v="31"/>
    <n v="599.97"/>
  </r>
  <r>
    <s v="TRX0083"/>
    <x v="140"/>
    <s v="CUST017"/>
    <x v="6"/>
    <s v="P007"/>
    <x v="6"/>
    <x v="2"/>
    <n v="5"/>
    <n v="299.99"/>
    <x v="0"/>
    <x v="3"/>
    <x v="2"/>
    <x v="200"/>
    <n v="1499.95"/>
  </r>
  <r>
    <s v="TRX0151"/>
    <x v="140"/>
    <s v="CUST040"/>
    <x v="30"/>
    <s v="P002"/>
    <x v="5"/>
    <x v="0"/>
    <n v="1"/>
    <n v="699.99"/>
    <x v="2"/>
    <x v="3"/>
    <x v="0"/>
    <x v="201"/>
    <n v="699.99"/>
  </r>
  <r>
    <s v="TRX0047"/>
    <x v="141"/>
    <s v="CUST042"/>
    <x v="43"/>
    <s v="P002"/>
    <x v="5"/>
    <x v="0"/>
    <n v="1"/>
    <n v="699.99"/>
    <x v="0"/>
    <x v="2"/>
    <x v="1"/>
    <x v="145"/>
    <n v="699.99"/>
  </r>
  <r>
    <s v="TRX0200"/>
    <x v="141"/>
    <s v="CUST037"/>
    <x v="48"/>
    <s v="P008"/>
    <x v="2"/>
    <x v="2"/>
    <n v="4"/>
    <n v="149.99"/>
    <x v="2"/>
    <x v="2"/>
    <x v="1"/>
    <x v="30"/>
    <n v="599.96"/>
  </r>
  <r>
    <s v="TRX0062"/>
    <x v="141"/>
    <s v="CUST016"/>
    <x v="39"/>
    <s v="P010"/>
    <x v="8"/>
    <x v="0"/>
    <n v="5"/>
    <n v="89.99"/>
    <x v="2"/>
    <x v="3"/>
    <x v="1"/>
    <x v="202"/>
    <n v="449.95"/>
  </r>
  <r>
    <s v="TRX0182"/>
    <x v="142"/>
    <s v="CUST031"/>
    <x v="26"/>
    <s v="P006"/>
    <x v="9"/>
    <x v="2"/>
    <n v="2"/>
    <n v="199.99"/>
    <x v="0"/>
    <x v="0"/>
    <x v="1"/>
    <x v="203"/>
    <n v="399.98"/>
  </r>
  <r>
    <s v="TRX0229"/>
    <x v="143"/>
    <s v="CUST015"/>
    <x v="45"/>
    <s v="P005"/>
    <x v="1"/>
    <x v="1"/>
    <n v="4"/>
    <n v="59.99"/>
    <x v="0"/>
    <x v="3"/>
    <x v="2"/>
    <x v="204"/>
    <n v="239.96"/>
  </r>
  <r>
    <s v="TRX0048"/>
    <x v="143"/>
    <s v="CUST048"/>
    <x v="16"/>
    <s v="P007"/>
    <x v="6"/>
    <x v="2"/>
    <n v="2"/>
    <n v="299.99"/>
    <x v="2"/>
    <x v="1"/>
    <x v="0"/>
    <x v="205"/>
    <n v="599.98"/>
  </r>
  <r>
    <s v="TRX0227"/>
    <x v="144"/>
    <s v="CUST017"/>
    <x v="6"/>
    <s v="P008"/>
    <x v="2"/>
    <x v="2"/>
    <n v="2"/>
    <n v="149.99"/>
    <x v="0"/>
    <x v="0"/>
    <x v="0"/>
    <x v="32"/>
    <n v="299.98"/>
  </r>
  <r>
    <s v="TRX0226"/>
    <x v="145"/>
    <s v="CUST039"/>
    <x v="40"/>
    <s v="P002"/>
    <x v="5"/>
    <x v="0"/>
    <n v="5"/>
    <n v="699.99"/>
    <x v="3"/>
    <x v="4"/>
    <x v="1"/>
    <x v="65"/>
    <n v="3499.95"/>
  </r>
  <r>
    <s v="TRX0053"/>
    <x v="146"/>
    <s v="CUST043"/>
    <x v="11"/>
    <s v="P005"/>
    <x v="1"/>
    <x v="1"/>
    <n v="5"/>
    <n v="59.99"/>
    <x v="0"/>
    <x v="3"/>
    <x v="1"/>
    <x v="206"/>
    <n v="299.95"/>
  </r>
  <r>
    <s v="TRX0233"/>
    <x v="147"/>
    <s v="CUST023"/>
    <x v="0"/>
    <s v="P010"/>
    <x v="8"/>
    <x v="0"/>
    <n v="2"/>
    <n v="89.99"/>
    <x v="1"/>
    <x v="3"/>
    <x v="1"/>
    <x v="4"/>
    <n v="179.98"/>
  </r>
  <r>
    <s v="TRX0175"/>
    <x v="147"/>
    <s v="CUST030"/>
    <x v="22"/>
    <s v="P009"/>
    <x v="0"/>
    <x v="0"/>
    <n v="5"/>
    <n v="249.99"/>
    <x v="0"/>
    <x v="4"/>
    <x v="2"/>
    <x v="207"/>
    <n v="1249.95"/>
  </r>
  <r>
    <s v="TRX0186"/>
    <x v="148"/>
    <s v="CUST039"/>
    <x v="40"/>
    <s v="P008"/>
    <x v="2"/>
    <x v="2"/>
    <n v="2"/>
    <n v="149.99"/>
    <x v="2"/>
    <x v="0"/>
    <x v="1"/>
    <x v="208"/>
    <n v="299.98"/>
  </r>
  <r>
    <s v="TRX0016"/>
    <x v="148"/>
    <s v="CUST035"/>
    <x v="28"/>
    <s v="P001"/>
    <x v="4"/>
    <x v="0"/>
    <n v="5"/>
    <n v="899.99"/>
    <x v="2"/>
    <x v="4"/>
    <x v="1"/>
    <x v="64"/>
    <n v="4499.95"/>
  </r>
  <r>
    <s v="TRX0199"/>
    <x v="148"/>
    <s v="CUST017"/>
    <x v="6"/>
    <s v="P008"/>
    <x v="2"/>
    <x v="2"/>
    <n v="4"/>
    <n v="149.99"/>
    <x v="0"/>
    <x v="0"/>
    <x v="2"/>
    <x v="209"/>
    <n v="599.96"/>
  </r>
  <r>
    <s v="TRX0038"/>
    <x v="149"/>
    <s v="CUST035"/>
    <x v="28"/>
    <s v="P009"/>
    <x v="0"/>
    <x v="0"/>
    <n v="1"/>
    <n v="249.99"/>
    <x v="0"/>
    <x v="2"/>
    <x v="2"/>
    <x v="210"/>
    <n v="249.99"/>
  </r>
  <r>
    <s v="TRX0014"/>
    <x v="150"/>
    <s v="CUST033"/>
    <x v="37"/>
    <s v="P005"/>
    <x v="1"/>
    <x v="1"/>
    <n v="2"/>
    <n v="59.99"/>
    <x v="1"/>
    <x v="3"/>
    <x v="0"/>
    <x v="211"/>
    <n v="119.98"/>
  </r>
  <r>
    <s v="TRX0003"/>
    <x v="151"/>
    <s v="CUST002"/>
    <x v="25"/>
    <s v="P008"/>
    <x v="2"/>
    <x v="2"/>
    <n v="2"/>
    <n v="149.99"/>
    <x v="0"/>
    <x v="3"/>
    <x v="1"/>
    <x v="212"/>
    <n v="299.98"/>
  </r>
  <r>
    <s v="TRX0124"/>
    <x v="151"/>
    <s v="CUST040"/>
    <x v="30"/>
    <s v="P001"/>
    <x v="4"/>
    <x v="0"/>
    <n v="3"/>
    <n v="899.99"/>
    <x v="3"/>
    <x v="2"/>
    <x v="1"/>
    <x v="213"/>
    <n v="2699.97"/>
  </r>
  <r>
    <s v="TRX0013"/>
    <x v="151"/>
    <s v="CUST024"/>
    <x v="5"/>
    <s v="P001"/>
    <x v="4"/>
    <x v="0"/>
    <n v="3"/>
    <n v="899.99"/>
    <x v="2"/>
    <x v="2"/>
    <x v="0"/>
    <x v="214"/>
    <n v="2699.97"/>
  </r>
  <r>
    <s v="TRX0019"/>
    <x v="152"/>
    <s v="CUST023"/>
    <x v="0"/>
    <s v="P007"/>
    <x v="6"/>
    <x v="2"/>
    <n v="3"/>
    <n v="299.99"/>
    <x v="1"/>
    <x v="3"/>
    <x v="1"/>
    <x v="215"/>
    <n v="899.97"/>
  </r>
  <r>
    <s v="TRX0050"/>
    <x v="153"/>
    <s v="CUST001"/>
    <x v="49"/>
    <s v="P008"/>
    <x v="2"/>
    <x v="2"/>
    <n v="4"/>
    <n v="149.99"/>
    <x v="2"/>
    <x v="3"/>
    <x v="2"/>
    <x v="144"/>
    <n v="599.96"/>
  </r>
  <r>
    <s v="TRX0152"/>
    <x v="154"/>
    <s v="CUST044"/>
    <x v="19"/>
    <s v="P004"/>
    <x v="7"/>
    <x v="1"/>
    <n v="4"/>
    <n v="79.99"/>
    <x v="1"/>
    <x v="0"/>
    <x v="0"/>
    <x v="216"/>
    <n v="319.96"/>
  </r>
  <r>
    <s v="TRX0213"/>
    <x v="155"/>
    <s v="CUST020"/>
    <x v="36"/>
    <s v="P010"/>
    <x v="8"/>
    <x v="0"/>
    <n v="5"/>
    <n v="89.99"/>
    <x v="2"/>
    <x v="1"/>
    <x v="0"/>
    <x v="217"/>
    <n v="449.95"/>
  </r>
  <r>
    <s v="TRX0197"/>
    <x v="156"/>
    <s v="CUST048"/>
    <x v="16"/>
    <s v="P008"/>
    <x v="2"/>
    <x v="2"/>
    <n v="3"/>
    <n v="149.99"/>
    <x v="2"/>
    <x v="0"/>
    <x v="2"/>
    <x v="218"/>
    <n v="449.97"/>
  </r>
  <r>
    <s v="TRX0250"/>
    <x v="156"/>
    <s v="CUST026"/>
    <x v="8"/>
    <s v="P010"/>
    <x v="8"/>
    <x v="0"/>
    <n v="2"/>
    <n v="89.99"/>
    <x v="3"/>
    <x v="3"/>
    <x v="1"/>
    <x v="164"/>
    <n v="179.98"/>
  </r>
  <r>
    <s v="TRX0068"/>
    <x v="157"/>
    <s v="CUST044"/>
    <x v="19"/>
    <s v="P002"/>
    <x v="5"/>
    <x v="0"/>
    <n v="2"/>
    <n v="699.99"/>
    <x v="2"/>
    <x v="2"/>
    <x v="2"/>
    <x v="111"/>
    <n v="1399.98"/>
  </r>
  <r>
    <s v="TRX0144"/>
    <x v="158"/>
    <s v="CUST029"/>
    <x v="23"/>
    <s v="P001"/>
    <x v="4"/>
    <x v="0"/>
    <n v="3"/>
    <n v="899.99"/>
    <x v="0"/>
    <x v="0"/>
    <x v="2"/>
    <x v="115"/>
    <n v="2699.97"/>
  </r>
  <r>
    <s v="TRX0039"/>
    <x v="159"/>
    <s v="CUST048"/>
    <x v="16"/>
    <s v="P004"/>
    <x v="7"/>
    <x v="1"/>
    <n v="3"/>
    <n v="79.99"/>
    <x v="1"/>
    <x v="2"/>
    <x v="0"/>
    <x v="219"/>
    <n v="239.97"/>
  </r>
  <r>
    <s v="TRX0116"/>
    <x v="160"/>
    <s v="CUST009"/>
    <x v="7"/>
    <s v="P010"/>
    <x v="8"/>
    <x v="0"/>
    <n v="1"/>
    <n v="89.99"/>
    <x v="3"/>
    <x v="4"/>
    <x v="0"/>
    <x v="220"/>
    <n v="89.99"/>
  </r>
  <r>
    <s v="TRX0120"/>
    <x v="161"/>
    <s v="CUST045"/>
    <x v="46"/>
    <s v="P002"/>
    <x v="5"/>
    <x v="0"/>
    <n v="3"/>
    <n v="699.99"/>
    <x v="2"/>
    <x v="2"/>
    <x v="0"/>
    <x v="67"/>
    <n v="2099.97"/>
  </r>
  <r>
    <s v="TRX0103"/>
    <x v="161"/>
    <s v="CUST039"/>
    <x v="40"/>
    <s v="P010"/>
    <x v="8"/>
    <x v="0"/>
    <n v="2"/>
    <n v="89.99"/>
    <x v="3"/>
    <x v="4"/>
    <x v="0"/>
    <x v="221"/>
    <n v="179.98"/>
  </r>
  <r>
    <s v="TRX0064"/>
    <x v="161"/>
    <s v="CUST031"/>
    <x v="26"/>
    <s v="P010"/>
    <x v="8"/>
    <x v="0"/>
    <n v="3"/>
    <n v="89.99"/>
    <x v="3"/>
    <x v="2"/>
    <x v="1"/>
    <x v="222"/>
    <n v="26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reatedVersion="6" indent="0" outline="1" outlineData="1" multipleFieldFilters="0" rowHeaderCaption="Customer_Name">
  <location ref="A1:B51"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showAll="0"/>
    <pivotField showAll="0"/>
    <pivotField numFmtId="14"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rowGrandTotals="0" createdVersion="6" indent="0" outline="1" outlineData="1" multipleFieldFilters="0" rowHeaderCaption="Customer_Segment">
  <location ref="J1:K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4">
        <item x="0"/>
        <item x="1"/>
        <item x="2"/>
        <item t="default"/>
      </items>
    </pivotField>
    <pivotField numFmtId="14" showAll="0"/>
    <pivotField dataField="1" showAll="0"/>
    <pivotField showAll="0" defaultSubtotal="0"/>
    <pivotField showAll="0" defaultSubtotal="0"/>
  </pivotFields>
  <rowFields count="1">
    <field x="11"/>
  </rowFields>
  <rowItems count="3">
    <i>
      <x/>
    </i>
    <i>
      <x v="1"/>
    </i>
    <i>
      <x v="2"/>
    </i>
  </rowItems>
  <colItems count="1">
    <i/>
  </colItems>
  <dataFields count="1">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rowGrandTotals="0" createdVersion="6" indent="0" outline="1" outlineData="1" multipleFieldFilters="0" chartFormat="6" rowHeaderCaption="Month">
  <location ref="G1:H13"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1"/>
        <item x="0"/>
        <item x="2"/>
        <item t="default"/>
      </items>
    </pivotField>
    <pivotField showAll="0"/>
    <pivotField showAll="0"/>
    <pivotField showAll="0">
      <items count="5">
        <item x="0"/>
        <item x="1"/>
        <item x="3"/>
        <item x="2"/>
        <item t="default"/>
      </items>
    </pivotField>
    <pivotField showAll="0">
      <items count="6">
        <item x="0"/>
        <item x="4"/>
        <item x="2"/>
        <item x="1"/>
        <item x="3"/>
        <item t="default"/>
      </items>
    </pivotField>
    <pivotField showAll="0"/>
    <pivotField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2">
    <i>
      <x v="1"/>
    </i>
    <i>
      <x v="2"/>
    </i>
    <i>
      <x v="3"/>
    </i>
    <i>
      <x v="4"/>
    </i>
    <i>
      <x v="5"/>
    </i>
    <i>
      <x v="6"/>
    </i>
    <i>
      <x v="7"/>
    </i>
    <i>
      <x v="8"/>
    </i>
    <i>
      <x v="9"/>
    </i>
    <i>
      <x v="10"/>
    </i>
    <i>
      <x v="11"/>
    </i>
    <i>
      <x v="12"/>
    </i>
  </rowItems>
  <colItems count="1">
    <i/>
  </colItems>
  <dataFields count="1">
    <dataField name="Sum of Total_Amount" fld="13"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rowGrandTotals="0" createdVersion="6" indent="0" outline="1" outlineData="1" multipleFieldFilters="0" chartFormat="6" rowHeaderCaption="Region">
  <location ref="D1:E6"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pivotField numFmtId="14"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10"/>
  </rowFields>
  <rowItems count="5">
    <i>
      <x/>
    </i>
    <i>
      <x v="1"/>
    </i>
    <i>
      <x v="2"/>
    </i>
    <i>
      <x v="3"/>
    </i>
    <i>
      <x v="4"/>
    </i>
  </rowItems>
  <colItems count="1">
    <i/>
  </colItems>
  <dataFields count="1">
    <dataField name="Sum of Total_Amount" fld="13"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rowGrandTotals="0" createdVersion="6" indent="0" outline="1" outlineData="1" multipleFieldFilters="0">
  <location ref="M1:N11"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dataField="1" showAll="0"/>
    <pivotField showAll="0"/>
    <pivotField showAll="0"/>
    <pivotField showAll="0"/>
    <pivotField showAll="0"/>
    <pivotField numFmtId="14" showAll="0"/>
    <pivotField showAll="0"/>
    <pivotField showAll="0" defaultSubtotal="0"/>
    <pivotField showAll="0" defaultSubtotal="0"/>
  </pivotFields>
  <rowFields count="1">
    <field x="5"/>
  </rowFields>
  <rowItems count="10">
    <i>
      <x/>
    </i>
    <i>
      <x v="1"/>
    </i>
    <i>
      <x v="2"/>
    </i>
    <i>
      <x v="3"/>
    </i>
    <i>
      <x v="4"/>
    </i>
    <i>
      <x v="5"/>
    </i>
    <i>
      <x v="6"/>
    </i>
    <i>
      <x v="7"/>
    </i>
    <i>
      <x v="8"/>
    </i>
    <i>
      <x v="9"/>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rowGrandTotals="0" createdVersion="6" indent="0" outline="1" outlineData="1" multipleFieldFilters="0" chartFormat="5" rowHeaderCaption="Category">
  <location ref="A1:B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4"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3">
    <i>
      <x/>
    </i>
    <i>
      <x v="1"/>
    </i>
    <i>
      <x v="2"/>
    </i>
  </rowItems>
  <colItems count="1">
    <i/>
  </colItems>
  <dataFields count="1">
    <dataField name="Sum of Total_Amount" fld="13"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1" name="PivotTable3"/>
  </pivotTables>
  <data>
    <tabular pivotCacheId="1">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1" name="PivotTable3"/>
    <pivotTable tabId="11" name="PivotTable1"/>
    <pivotTable tabId="11" name="PivotTable2"/>
    <pivotTable tabId="11" name="PivotTable4"/>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11" name="PivotTable3"/>
  </pivotTables>
  <data>
    <tabular pivotCacheId="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5" style="SlicerStyleDark1" rowHeight="234950"/>
  <slicer name="Category" cache="Slicer_Category" caption="Category" columnCount="3" style="SlicerStyleDark1" rowHeight="234950"/>
  <slicer name="Payment_Method" cache="Slicer_Payment_Method" caption="Payment_Method" columnCount="4" style="SlicerStyleDark1" rowHeight="234950"/>
</slicers>
</file>

<file path=xl/tables/table1.xml><?xml version="1.0" encoding="utf-8"?>
<table xmlns="http://schemas.openxmlformats.org/spreadsheetml/2006/main" id="2" name="RawData" displayName="RawData" ref="A1:O251" totalsRowShown="0">
  <autoFilter ref="A1:O251"/>
  <tableColumns count="15">
    <tableColumn id="1" name="Transaction_ID" dataDxfId="20"/>
    <tableColumn id="2" name="Date" dataDxfId="19"/>
    <tableColumn id="3" name="Customer_ID" dataDxfId="18"/>
    <tableColumn id="4" name="Customer_Name" dataDxfId="17"/>
    <tableColumn id="5" name="Product_ID" dataDxfId="16"/>
    <tableColumn id="6" name="Product_Name" dataDxfId="15"/>
    <tableColumn id="7" name="Category" dataDxfId="14"/>
    <tableColumn id="8" name="Quantity" dataDxfId="13"/>
    <tableColumn id="9" name="Unit_Price" dataDxfId="12"/>
    <tableColumn id="10" name="Payment_Method" dataDxfId="11"/>
    <tableColumn id="11" name="Region" dataDxfId="10"/>
    <tableColumn id="12" name="Customer_Segment" dataDxfId="9"/>
    <tableColumn id="13" name="Customer_Since" dataDxfId="8"/>
    <tableColumn id="14" name="Total_Amount" dataDxfId="7"/>
    <tableColumn id="15" name="Column1" dataDxfId="6"/>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F4" totalsRowShown="0">
  <autoFilter ref="A1:F4"/>
  <tableColumns count="6">
    <tableColumn id="1" name="ToDay" dataDxfId="5">
      <calculatedColumnFormula>TODAY()</calculatedColumnFormula>
    </tableColumn>
    <tableColumn id="2" name="Now" dataDxfId="4">
      <calculatedColumnFormula>NOW()</calculatedColumnFormula>
    </tableColumn>
    <tableColumn id="3" name="DOB"/>
    <tableColumn id="4" name="DateDif" dataDxfId="3">
      <calculatedColumnFormula>DATEDIF(Table3[[#This Row],[DOB]],TODAY(),"Y")</calculatedColumnFormula>
    </tableColumn>
    <tableColumn id="5" name="EOMONTH" dataDxfId="2">
      <calculatedColumnFormula>EOMONTH(Table3[[#This Row],[DOB]],3)</calculatedColumnFormula>
    </tableColumn>
    <tableColumn id="6" name="Timestamp" dataDxfId="1">
      <calculatedColumnFormula>IF(A2&lt;&gt;"",IF(F2="",NOW(),F2),"")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Date1" sourceName="Date">
  <pivotTables>
    <pivotTable tabId="11" name="PivotTable3"/>
    <pivotTable tabId="11" name="PivotTable1"/>
    <pivotTable tabId="11" name="PivotTable2"/>
    <pivotTable tabId="11" name="PivotTable4"/>
    <pivotTable tabId="11" name="PivotTable5"/>
  </pivotTables>
  <state minimalRefreshVersion="6" lastRefreshVersion="6" pivotCacheId="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1" caption="Date" level="2" selectionLevel="2" scrollPosition="2024-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AC251"/>
  <sheetViews>
    <sheetView topLeftCell="F1" workbookViewId="0">
      <selection activeCell="D1" sqref="D1:N251"/>
    </sheetView>
  </sheetViews>
  <sheetFormatPr defaultColWidth="9" defaultRowHeight="14.4"/>
  <cols>
    <col min="1" max="1" width="15.44140625" customWidth="1"/>
    <col min="2" max="2" width="10.5546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88671875" customWidth="1"/>
    <col min="10" max="10" width="18.21875" customWidth="1"/>
    <col min="12" max="12" width="19.44140625" customWidth="1"/>
    <col min="13" max="13" width="16.44140625" customWidth="1"/>
    <col min="14" max="14" width="15" customWidth="1"/>
    <col min="15" max="15" width="15" style="58" customWidth="1"/>
    <col min="17" max="17" width="13.33203125" customWidth="1"/>
    <col min="18" max="18" width="11.44140625" style="59" customWidth="1"/>
    <col min="19" max="19" width="11.6640625" customWidth="1"/>
    <col min="20" max="20" width="15.109375" customWidth="1"/>
    <col min="21" max="21" width="10.21875" customWidth="1"/>
    <col min="22" max="22" width="13.44140625" customWidth="1"/>
    <col min="23" max="23" width="10.6640625" customWidth="1"/>
    <col min="24" max="24" width="8.109375" customWidth="1"/>
    <col min="25" max="25" width="9.44140625" customWidth="1"/>
    <col min="26" max="26" width="16.109375" customWidth="1"/>
    <col min="28" max="28" width="17.33203125" customWidth="1"/>
    <col min="29" max="29" width="14.33203125" customWidth="1"/>
    <col min="30" max="30" width="12.88671875" customWidth="1"/>
  </cols>
  <sheetData>
    <row r="1" spans="1:29">
      <c r="A1" s="60" t="s">
        <v>0</v>
      </c>
      <c r="B1" s="61" t="s">
        <v>1</v>
      </c>
      <c r="C1" s="61" t="s">
        <v>2</v>
      </c>
      <c r="D1" s="61" t="s">
        <v>3</v>
      </c>
      <c r="E1" s="61" t="s">
        <v>4</v>
      </c>
      <c r="F1" s="61" t="s">
        <v>5</v>
      </c>
      <c r="G1" s="61" t="s">
        <v>6</v>
      </c>
      <c r="H1" s="61" t="s">
        <v>7</v>
      </c>
      <c r="I1" s="61" t="s">
        <v>8</v>
      </c>
      <c r="J1" s="61" t="s">
        <v>9</v>
      </c>
      <c r="K1" s="61" t="s">
        <v>10</v>
      </c>
      <c r="L1" s="61" t="s">
        <v>11</v>
      </c>
      <c r="M1" s="61" t="s">
        <v>12</v>
      </c>
      <c r="N1" s="66" t="s">
        <v>13</v>
      </c>
      <c r="O1" s="67" t="s">
        <v>14</v>
      </c>
      <c r="P1" s="81" t="s">
        <v>15</v>
      </c>
      <c r="Q1" s="81"/>
      <c r="R1" s="81"/>
      <c r="S1" s="81"/>
      <c r="T1" s="81"/>
      <c r="U1" s="81"/>
      <c r="V1" s="81"/>
      <c r="W1" s="81"/>
      <c r="X1" s="81"/>
      <c r="Y1" s="81"/>
      <c r="Z1" s="81"/>
      <c r="AA1" s="81"/>
      <c r="AB1" s="81"/>
      <c r="AC1" s="81"/>
    </row>
    <row r="2" spans="1:29" ht="43.2">
      <c r="A2" s="62" t="s">
        <v>16</v>
      </c>
      <c r="B2" s="63">
        <v>45393</v>
      </c>
      <c r="C2" s="64" t="s">
        <v>17</v>
      </c>
      <c r="D2" s="64" t="s">
        <v>18</v>
      </c>
      <c r="E2" s="64" t="s">
        <v>19</v>
      </c>
      <c r="F2" s="64" t="s">
        <v>20</v>
      </c>
      <c r="G2" s="64" t="s">
        <v>21</v>
      </c>
      <c r="H2" s="65">
        <v>3</v>
      </c>
      <c r="I2" s="65">
        <v>249.99</v>
      </c>
      <c r="J2" s="64" t="s">
        <v>22</v>
      </c>
      <c r="K2" s="64" t="s">
        <v>23</v>
      </c>
      <c r="L2" s="64" t="s">
        <v>24</v>
      </c>
      <c r="M2" s="63">
        <v>44425</v>
      </c>
      <c r="N2" s="68">
        <v>749.97</v>
      </c>
      <c r="O2" s="69"/>
      <c r="P2" s="70" t="s">
        <v>0</v>
      </c>
      <c r="Q2" s="72" t="s">
        <v>1</v>
      </c>
      <c r="R2" s="72" t="s">
        <v>2</v>
      </c>
      <c r="S2" s="72" t="s">
        <v>3</v>
      </c>
      <c r="T2" s="72" t="s">
        <v>4</v>
      </c>
      <c r="U2" s="72" t="s">
        <v>5</v>
      </c>
      <c r="V2" s="72" t="s">
        <v>6</v>
      </c>
      <c r="W2" s="72" t="s">
        <v>7</v>
      </c>
      <c r="X2" s="72" t="s">
        <v>8</v>
      </c>
      <c r="Y2" s="72" t="s">
        <v>9</v>
      </c>
      <c r="Z2" s="72" t="s">
        <v>10</v>
      </c>
      <c r="AA2" s="72" t="s">
        <v>11</v>
      </c>
      <c r="AB2" s="72" t="s">
        <v>12</v>
      </c>
      <c r="AC2" s="73" t="s">
        <v>13</v>
      </c>
    </row>
    <row r="3" spans="1:29">
      <c r="A3" s="62" t="s">
        <v>25</v>
      </c>
      <c r="B3" s="63">
        <v>45396</v>
      </c>
      <c r="C3" s="64" t="s">
        <v>26</v>
      </c>
      <c r="D3" s="64" t="s">
        <v>27</v>
      </c>
      <c r="E3" s="64" t="s">
        <v>19</v>
      </c>
      <c r="F3" s="64" t="s">
        <v>20</v>
      </c>
      <c r="G3" s="64" t="s">
        <v>21</v>
      </c>
      <c r="H3" s="65">
        <v>3</v>
      </c>
      <c r="I3" s="65">
        <v>249.99</v>
      </c>
      <c r="J3" s="64" t="s">
        <v>28</v>
      </c>
      <c r="K3" s="64" t="s">
        <v>23</v>
      </c>
      <c r="L3" s="64" t="s">
        <v>29</v>
      </c>
      <c r="M3" s="63">
        <v>44575</v>
      </c>
      <c r="N3" s="68">
        <v>749.97</v>
      </c>
      <c r="O3" s="71"/>
      <c r="P3" t="str" cm="1">
        <f t="array" ref="P3:AC49">_xlfn._xlws.FILTER(A2:N252,K2:K252="West","Not Found")</f>
        <v>TRX0092</v>
      </c>
      <c r="Q3" s="59">
        <v>45403</v>
      </c>
      <c r="R3" t="str">
        <v>CUST024</v>
      </c>
      <c r="S3" t="str">
        <v>Dorothy Nelson</v>
      </c>
      <c r="T3" t="str">
        <v>P005</v>
      </c>
      <c r="U3" t="str">
        <v>Blender</v>
      </c>
      <c r="V3" t="str">
        <v>Appliances</v>
      </c>
      <c r="W3">
        <v>2</v>
      </c>
      <c r="X3">
        <v>59.99</v>
      </c>
      <c r="Y3" t="str">
        <v>Cash</v>
      </c>
      <c r="Z3" t="str">
        <v>West</v>
      </c>
      <c r="AA3" t="str">
        <v>Standard</v>
      </c>
      <c r="AB3">
        <v>44746</v>
      </c>
      <c r="AC3">
        <v>119.98</v>
      </c>
    </row>
    <row r="4" spans="1:29">
      <c r="A4" s="62" t="s">
        <v>30</v>
      </c>
      <c r="B4" s="63">
        <v>45399</v>
      </c>
      <c r="C4" s="64" t="s">
        <v>31</v>
      </c>
      <c r="D4" s="64" t="s">
        <v>32</v>
      </c>
      <c r="E4" s="64" t="s">
        <v>33</v>
      </c>
      <c r="F4" s="64" t="s">
        <v>34</v>
      </c>
      <c r="G4" s="64" t="s">
        <v>35</v>
      </c>
      <c r="H4" s="65">
        <v>3</v>
      </c>
      <c r="I4" s="65">
        <v>59.99</v>
      </c>
      <c r="J4" s="64" t="s">
        <v>36</v>
      </c>
      <c r="K4" s="64" t="s">
        <v>37</v>
      </c>
      <c r="L4" s="64" t="s">
        <v>38</v>
      </c>
      <c r="M4" s="63">
        <v>45262</v>
      </c>
      <c r="N4" s="68">
        <v>179.97</v>
      </c>
      <c r="O4" s="71"/>
      <c r="P4" t="str">
        <v>TRX0185</v>
      </c>
      <c r="Q4" s="59">
        <v>45408</v>
      </c>
      <c r="R4" t="str">
        <v>CUST026</v>
      </c>
      <c r="S4" t="str">
        <v>Karen Hill</v>
      </c>
      <c r="T4" t="str">
        <v>P005</v>
      </c>
      <c r="U4" t="str">
        <v>Blender</v>
      </c>
      <c r="V4" t="str">
        <v>Appliances</v>
      </c>
      <c r="W4">
        <v>3</v>
      </c>
      <c r="X4">
        <v>59.99</v>
      </c>
      <c r="Y4" t="str">
        <v>Cash</v>
      </c>
      <c r="Z4" t="str">
        <v>West</v>
      </c>
      <c r="AA4" t="str">
        <v>Premium</v>
      </c>
      <c r="AB4">
        <v>45207</v>
      </c>
      <c r="AC4">
        <v>179.97</v>
      </c>
    </row>
    <row r="5" spans="1:29">
      <c r="A5" s="62" t="s">
        <v>39</v>
      </c>
      <c r="B5" s="63">
        <v>45400</v>
      </c>
      <c r="C5" s="64" t="s">
        <v>40</v>
      </c>
      <c r="D5" s="64" t="s">
        <v>41</v>
      </c>
      <c r="E5" s="64" t="s">
        <v>33</v>
      </c>
      <c r="F5" s="64" t="s">
        <v>34</v>
      </c>
      <c r="G5" s="64" t="s">
        <v>35</v>
      </c>
      <c r="H5" s="65">
        <v>3</v>
      </c>
      <c r="I5" s="65">
        <v>59.99</v>
      </c>
      <c r="J5" s="64" t="s">
        <v>22</v>
      </c>
      <c r="K5" s="64" t="s">
        <v>42</v>
      </c>
      <c r="L5" s="64" t="s">
        <v>29</v>
      </c>
      <c r="M5" s="63">
        <v>45114</v>
      </c>
      <c r="N5" s="68">
        <v>179.97</v>
      </c>
      <c r="O5" s="71"/>
      <c r="P5" t="str">
        <v>TRX0138</v>
      </c>
      <c r="Q5" s="59">
        <v>45408</v>
      </c>
      <c r="R5" t="str">
        <v>CUST022</v>
      </c>
      <c r="S5" t="str">
        <v>Susan Green</v>
      </c>
      <c r="T5" t="str">
        <v>P008</v>
      </c>
      <c r="U5" t="str">
        <v>Bookshelf</v>
      </c>
      <c r="V5" t="str">
        <v>Furniture</v>
      </c>
      <c r="W5">
        <v>1</v>
      </c>
      <c r="X5">
        <v>149.99</v>
      </c>
      <c r="Y5" t="str">
        <v>Credit Card</v>
      </c>
      <c r="Z5" t="str">
        <v>West</v>
      </c>
      <c r="AA5" t="str">
        <v>Standard</v>
      </c>
      <c r="AB5">
        <v>45103</v>
      </c>
      <c r="AC5">
        <v>149.99</v>
      </c>
    </row>
    <row r="6" spans="1:29">
      <c r="A6" s="62" t="s">
        <v>43</v>
      </c>
      <c r="B6" s="63">
        <v>45400</v>
      </c>
      <c r="C6" s="64" t="s">
        <v>44</v>
      </c>
      <c r="D6" s="64" t="s">
        <v>45</v>
      </c>
      <c r="E6" s="64" t="s">
        <v>46</v>
      </c>
      <c r="F6" s="64" t="s">
        <v>47</v>
      </c>
      <c r="G6" s="64" t="s">
        <v>48</v>
      </c>
      <c r="H6" s="65">
        <v>5</v>
      </c>
      <c r="I6" s="65">
        <v>149.99</v>
      </c>
      <c r="J6" s="64" t="s">
        <v>28</v>
      </c>
      <c r="K6" s="64" t="s">
        <v>42</v>
      </c>
      <c r="L6" s="64" t="s">
        <v>29</v>
      </c>
      <c r="M6" s="63">
        <v>45295</v>
      </c>
      <c r="N6" s="68">
        <v>749.95</v>
      </c>
      <c r="O6" s="71"/>
      <c r="P6" t="str">
        <v>TRX0191</v>
      </c>
      <c r="Q6" s="59">
        <v>45409</v>
      </c>
      <c r="R6" t="str">
        <v>CUST038</v>
      </c>
      <c r="S6" t="str">
        <v>Michelle Rogers</v>
      </c>
      <c r="T6" t="str">
        <v>P002</v>
      </c>
      <c r="U6" t="str">
        <v>Smartphone</v>
      </c>
      <c r="V6" t="str">
        <v>Electronics</v>
      </c>
      <c r="W6">
        <v>3</v>
      </c>
      <c r="X6">
        <v>699.99</v>
      </c>
      <c r="Y6" t="str">
        <v>Credit Card</v>
      </c>
      <c r="Z6" t="str">
        <v>West</v>
      </c>
      <c r="AA6" t="str">
        <v>Basic</v>
      </c>
      <c r="AB6">
        <v>44577</v>
      </c>
      <c r="AC6">
        <v>2099.9699999999998</v>
      </c>
    </row>
    <row r="7" spans="1:29">
      <c r="A7" s="62" t="s">
        <v>49</v>
      </c>
      <c r="B7" s="63">
        <v>45403</v>
      </c>
      <c r="C7" s="64" t="s">
        <v>50</v>
      </c>
      <c r="D7" s="64" t="s">
        <v>51</v>
      </c>
      <c r="E7" s="64" t="s">
        <v>33</v>
      </c>
      <c r="F7" s="64" t="s">
        <v>34</v>
      </c>
      <c r="G7" s="64" t="s">
        <v>35</v>
      </c>
      <c r="H7" s="65">
        <v>2</v>
      </c>
      <c r="I7" s="65">
        <v>59.99</v>
      </c>
      <c r="J7" s="64" t="s">
        <v>22</v>
      </c>
      <c r="K7" s="64" t="s">
        <v>52</v>
      </c>
      <c r="L7" s="64" t="s">
        <v>38</v>
      </c>
      <c r="M7" s="63">
        <v>44746</v>
      </c>
      <c r="N7" s="68">
        <v>119.98</v>
      </c>
      <c r="O7" s="71"/>
      <c r="P7" t="str">
        <v>TRX0122</v>
      </c>
      <c r="Q7" s="59">
        <v>45410</v>
      </c>
      <c r="R7" t="str">
        <v>CUST025</v>
      </c>
      <c r="S7" t="str">
        <v>Mark Carter</v>
      </c>
      <c r="T7" t="str">
        <v>P001</v>
      </c>
      <c r="U7" t="str">
        <v>Laptop</v>
      </c>
      <c r="V7" t="str">
        <v>Electronics</v>
      </c>
      <c r="W7">
        <v>4</v>
      </c>
      <c r="X7">
        <v>899.99</v>
      </c>
      <c r="Y7" t="str">
        <v>Credit Card</v>
      </c>
      <c r="Z7" t="str">
        <v>West</v>
      </c>
      <c r="AA7" t="str">
        <v>Standard</v>
      </c>
      <c r="AB7">
        <v>45327</v>
      </c>
      <c r="AC7">
        <v>3599.96</v>
      </c>
    </row>
    <row r="8" spans="1:29">
      <c r="A8" s="62" t="s">
        <v>53</v>
      </c>
      <c r="B8" s="63">
        <v>45403</v>
      </c>
      <c r="C8" s="64" t="s">
        <v>50</v>
      </c>
      <c r="D8" s="64" t="s">
        <v>51</v>
      </c>
      <c r="E8" s="64" t="s">
        <v>54</v>
      </c>
      <c r="F8" s="64" t="s">
        <v>55</v>
      </c>
      <c r="G8" s="64" t="s">
        <v>21</v>
      </c>
      <c r="H8" s="65">
        <v>5</v>
      </c>
      <c r="I8" s="65">
        <v>149.99</v>
      </c>
      <c r="J8" s="64" t="s">
        <v>28</v>
      </c>
      <c r="K8" s="64" t="s">
        <v>23</v>
      </c>
      <c r="L8" s="64" t="s">
        <v>38</v>
      </c>
      <c r="M8" s="63">
        <v>44418</v>
      </c>
      <c r="N8" s="68">
        <v>749.95</v>
      </c>
      <c r="O8" s="71"/>
      <c r="P8" t="str">
        <v>TRX0231</v>
      </c>
      <c r="Q8" s="59">
        <v>45412</v>
      </c>
      <c r="R8" t="str">
        <v>CUST018</v>
      </c>
      <c r="S8" t="str">
        <v>Barbara Young</v>
      </c>
      <c r="T8" t="str">
        <v>P002</v>
      </c>
      <c r="U8" t="str">
        <v>Smartphone</v>
      </c>
      <c r="V8" t="str">
        <v>Electronics</v>
      </c>
      <c r="W8">
        <v>5</v>
      </c>
      <c r="X8">
        <v>699.99</v>
      </c>
      <c r="Y8" t="str">
        <v>Cash</v>
      </c>
      <c r="Z8" t="str">
        <v>West</v>
      </c>
      <c r="AA8" t="str">
        <v>Basic</v>
      </c>
      <c r="AB8">
        <v>45167</v>
      </c>
      <c r="AC8">
        <v>3499.95</v>
      </c>
    </row>
    <row r="9" spans="1:29">
      <c r="A9" s="62" t="s">
        <v>56</v>
      </c>
      <c r="B9" s="63">
        <v>45403</v>
      </c>
      <c r="C9" s="64" t="s">
        <v>57</v>
      </c>
      <c r="D9" s="64" t="s">
        <v>58</v>
      </c>
      <c r="E9" s="64" t="s">
        <v>33</v>
      </c>
      <c r="F9" s="64" t="s">
        <v>34</v>
      </c>
      <c r="G9" s="64" t="s">
        <v>35</v>
      </c>
      <c r="H9" s="65">
        <v>3</v>
      </c>
      <c r="I9" s="65">
        <v>59.99</v>
      </c>
      <c r="J9" s="64" t="s">
        <v>59</v>
      </c>
      <c r="K9" s="64" t="s">
        <v>37</v>
      </c>
      <c r="L9" s="64" t="s">
        <v>24</v>
      </c>
      <c r="M9" s="63">
        <v>45007</v>
      </c>
      <c r="N9" s="68">
        <v>179.97</v>
      </c>
      <c r="O9" s="71"/>
      <c r="P9" t="str">
        <v>TRX0242</v>
      </c>
      <c r="Q9" s="59">
        <v>45416</v>
      </c>
      <c r="R9" t="str">
        <v>CUST025</v>
      </c>
      <c r="S9" t="str">
        <v>Mark Carter</v>
      </c>
      <c r="T9" t="str">
        <v>P007</v>
      </c>
      <c r="U9" t="str">
        <v>Desk</v>
      </c>
      <c r="V9" t="str">
        <v>Furniture</v>
      </c>
      <c r="W9">
        <v>4</v>
      </c>
      <c r="X9">
        <v>299.99</v>
      </c>
      <c r="Y9" t="str">
        <v>Cash</v>
      </c>
      <c r="Z9" t="str">
        <v>West</v>
      </c>
      <c r="AA9" t="str">
        <v>Premium</v>
      </c>
      <c r="AB9">
        <v>44716</v>
      </c>
      <c r="AC9">
        <v>1199.96</v>
      </c>
    </row>
    <row r="10" spans="1:29">
      <c r="A10" s="62" t="s">
        <v>60</v>
      </c>
      <c r="B10" s="63">
        <v>45405</v>
      </c>
      <c r="C10" s="64" t="s">
        <v>61</v>
      </c>
      <c r="D10" s="64" t="s">
        <v>62</v>
      </c>
      <c r="E10" s="64" t="s">
        <v>63</v>
      </c>
      <c r="F10" s="64" t="s">
        <v>64</v>
      </c>
      <c r="G10" s="64" t="s">
        <v>21</v>
      </c>
      <c r="H10" s="65">
        <v>3</v>
      </c>
      <c r="I10" s="65">
        <v>899.99</v>
      </c>
      <c r="J10" s="64" t="s">
        <v>36</v>
      </c>
      <c r="K10" s="64" t="s">
        <v>65</v>
      </c>
      <c r="L10" s="64" t="s">
        <v>38</v>
      </c>
      <c r="M10" s="63">
        <v>45299</v>
      </c>
      <c r="N10" s="68">
        <v>2699.97</v>
      </c>
      <c r="O10" s="71"/>
      <c r="P10" t="str">
        <v>TRX0071</v>
      </c>
      <c r="Q10" s="59">
        <v>45422</v>
      </c>
      <c r="R10" t="str">
        <v>CUST036</v>
      </c>
      <c r="S10" t="str">
        <v>Nancy Collins</v>
      </c>
      <c r="T10" t="str">
        <v>P009</v>
      </c>
      <c r="U10" t="str">
        <v>Monitor</v>
      </c>
      <c r="V10" t="str">
        <v>Electronics</v>
      </c>
      <c r="W10">
        <v>5</v>
      </c>
      <c r="X10">
        <v>249.99</v>
      </c>
      <c r="Y10" t="str">
        <v>Credit Card</v>
      </c>
      <c r="Z10" t="str">
        <v>West</v>
      </c>
      <c r="AA10" t="str">
        <v>Standard</v>
      </c>
      <c r="AB10">
        <v>44525</v>
      </c>
      <c r="AC10">
        <v>1249.95</v>
      </c>
    </row>
    <row r="11" spans="1:29">
      <c r="A11" s="62" t="s">
        <v>66</v>
      </c>
      <c r="B11" s="63">
        <v>45408</v>
      </c>
      <c r="C11" s="64" t="s">
        <v>67</v>
      </c>
      <c r="D11" s="64" t="s">
        <v>68</v>
      </c>
      <c r="E11" s="64" t="s">
        <v>33</v>
      </c>
      <c r="F11" s="64" t="s">
        <v>34</v>
      </c>
      <c r="G11" s="64" t="s">
        <v>35</v>
      </c>
      <c r="H11" s="65">
        <v>3</v>
      </c>
      <c r="I11" s="65">
        <v>59.99</v>
      </c>
      <c r="J11" s="64" t="s">
        <v>22</v>
      </c>
      <c r="K11" s="64" t="s">
        <v>52</v>
      </c>
      <c r="L11" s="64" t="s">
        <v>29</v>
      </c>
      <c r="M11" s="63">
        <v>45207</v>
      </c>
      <c r="N11" s="68">
        <v>179.97</v>
      </c>
      <c r="O11" s="71"/>
      <c r="P11" t="str">
        <v>TRX0194</v>
      </c>
      <c r="Q11" s="59">
        <v>45428</v>
      </c>
      <c r="R11" t="str">
        <v>CUST006</v>
      </c>
      <c r="S11" t="str">
        <v>Lisa Anderson</v>
      </c>
      <c r="T11" t="str">
        <v>P008</v>
      </c>
      <c r="U11" t="str">
        <v>Bookshelf</v>
      </c>
      <c r="V11" t="str">
        <v>Furniture</v>
      </c>
      <c r="W11">
        <v>2</v>
      </c>
      <c r="X11">
        <v>149.99</v>
      </c>
      <c r="Y11" t="str">
        <v>Credit Card</v>
      </c>
      <c r="Z11" t="str">
        <v>West</v>
      </c>
      <c r="AA11" t="str">
        <v>Basic</v>
      </c>
      <c r="AB11">
        <v>44823</v>
      </c>
      <c r="AC11">
        <v>299.98</v>
      </c>
    </row>
    <row r="12" spans="1:29">
      <c r="A12" s="62" t="s">
        <v>69</v>
      </c>
      <c r="B12" s="63">
        <v>45408</v>
      </c>
      <c r="C12" s="64" t="s">
        <v>70</v>
      </c>
      <c r="D12" s="64" t="s">
        <v>71</v>
      </c>
      <c r="E12" s="64" t="s">
        <v>46</v>
      </c>
      <c r="F12" s="64" t="s">
        <v>47</v>
      </c>
      <c r="G12" s="64" t="s">
        <v>48</v>
      </c>
      <c r="H12" s="65">
        <v>1</v>
      </c>
      <c r="I12" s="65">
        <v>149.99</v>
      </c>
      <c r="J12" s="64" t="s">
        <v>28</v>
      </c>
      <c r="K12" s="64" t="s">
        <v>52</v>
      </c>
      <c r="L12" s="64" t="s">
        <v>38</v>
      </c>
      <c r="M12" s="63">
        <v>45103</v>
      </c>
      <c r="N12" s="68">
        <v>149.99</v>
      </c>
      <c r="O12" s="71"/>
      <c r="P12" t="str">
        <v>TRX0130</v>
      </c>
      <c r="Q12" s="59">
        <v>45430</v>
      </c>
      <c r="R12" t="str">
        <v>CUST002</v>
      </c>
      <c r="S12" t="str">
        <v>Emma Wilson</v>
      </c>
      <c r="T12" t="str">
        <v>P008</v>
      </c>
      <c r="U12" t="str">
        <v>Bookshelf</v>
      </c>
      <c r="V12" t="str">
        <v>Furniture</v>
      </c>
      <c r="W12">
        <v>3</v>
      </c>
      <c r="X12">
        <v>149.99</v>
      </c>
      <c r="Y12" t="str">
        <v>Credit Card</v>
      </c>
      <c r="Z12" t="str">
        <v>West</v>
      </c>
      <c r="AA12" t="str">
        <v>Premium</v>
      </c>
      <c r="AB12">
        <v>45068</v>
      </c>
      <c r="AC12">
        <v>449.97</v>
      </c>
    </row>
    <row r="13" spans="1:29">
      <c r="A13" s="62" t="s">
        <v>72</v>
      </c>
      <c r="B13" s="63">
        <v>45408</v>
      </c>
      <c r="C13" s="64" t="s">
        <v>40</v>
      </c>
      <c r="D13" s="64" t="s">
        <v>41</v>
      </c>
      <c r="E13" s="64" t="s">
        <v>46</v>
      </c>
      <c r="F13" s="64" t="s">
        <v>47</v>
      </c>
      <c r="G13" s="64" t="s">
        <v>48</v>
      </c>
      <c r="H13" s="65">
        <v>5</v>
      </c>
      <c r="I13" s="65">
        <v>149.99</v>
      </c>
      <c r="J13" s="64" t="s">
        <v>59</v>
      </c>
      <c r="K13" s="64" t="s">
        <v>42</v>
      </c>
      <c r="L13" s="64" t="s">
        <v>24</v>
      </c>
      <c r="M13" s="63">
        <v>44830</v>
      </c>
      <c r="N13" s="68">
        <v>749.95</v>
      </c>
      <c r="O13" s="71"/>
      <c r="P13" t="str">
        <v>TRX0041</v>
      </c>
      <c r="Q13" s="59">
        <v>45432</v>
      </c>
      <c r="R13" t="str">
        <v>CUST021</v>
      </c>
      <c r="S13" t="str">
        <v>Kevin Scott</v>
      </c>
      <c r="T13" t="str">
        <v>P001</v>
      </c>
      <c r="U13" t="str">
        <v>Laptop</v>
      </c>
      <c r="V13" t="str">
        <v>Electronics</v>
      </c>
      <c r="W13">
        <v>1</v>
      </c>
      <c r="X13">
        <v>899.99</v>
      </c>
      <c r="Y13" t="str">
        <v>Credit Card</v>
      </c>
      <c r="Z13" t="str">
        <v>West</v>
      </c>
      <c r="AA13" t="str">
        <v>Premium</v>
      </c>
      <c r="AB13">
        <v>44578</v>
      </c>
      <c r="AC13">
        <v>899.99</v>
      </c>
    </row>
    <row r="14" spans="1:29">
      <c r="A14" s="62" t="s">
        <v>73</v>
      </c>
      <c r="B14" s="63">
        <v>45408</v>
      </c>
      <c r="C14" s="64" t="s">
        <v>74</v>
      </c>
      <c r="D14" s="64" t="s">
        <v>75</v>
      </c>
      <c r="E14" s="64" t="s">
        <v>46</v>
      </c>
      <c r="F14" s="64" t="s">
        <v>47</v>
      </c>
      <c r="G14" s="64" t="s">
        <v>48</v>
      </c>
      <c r="H14" s="65">
        <v>3</v>
      </c>
      <c r="I14" s="65">
        <v>149.99</v>
      </c>
      <c r="J14" s="64" t="s">
        <v>22</v>
      </c>
      <c r="K14" s="64" t="s">
        <v>42</v>
      </c>
      <c r="L14" s="64" t="s">
        <v>29</v>
      </c>
      <c r="M14" s="63">
        <v>44806</v>
      </c>
      <c r="N14" s="68">
        <v>449.97</v>
      </c>
      <c r="O14" s="71"/>
      <c r="P14" t="str">
        <v>TRX0015</v>
      </c>
      <c r="Q14" s="59">
        <v>45440</v>
      </c>
      <c r="R14" t="str">
        <v>CUST008</v>
      </c>
      <c r="S14" t="str">
        <v>Jennifer Taylor</v>
      </c>
      <c r="T14" t="str">
        <v>P002</v>
      </c>
      <c r="U14" t="str">
        <v>Smartphone</v>
      </c>
      <c r="V14" t="str">
        <v>Electronics</v>
      </c>
      <c r="W14">
        <v>5</v>
      </c>
      <c r="X14">
        <v>699.99</v>
      </c>
      <c r="Y14" t="str">
        <v>PayPal</v>
      </c>
      <c r="Z14" t="str">
        <v>West</v>
      </c>
      <c r="AA14" t="str">
        <v>Standard</v>
      </c>
      <c r="AB14">
        <v>44407</v>
      </c>
      <c r="AC14">
        <v>3499.95</v>
      </c>
    </row>
    <row r="15" spans="1:29">
      <c r="A15" s="62" t="s">
        <v>76</v>
      </c>
      <c r="B15" s="63">
        <v>45409</v>
      </c>
      <c r="C15" s="64" t="s">
        <v>77</v>
      </c>
      <c r="D15" s="64" t="s">
        <v>78</v>
      </c>
      <c r="E15" s="64" t="s">
        <v>33</v>
      </c>
      <c r="F15" s="64" t="s">
        <v>34</v>
      </c>
      <c r="G15" s="64" t="s">
        <v>35</v>
      </c>
      <c r="H15" s="65">
        <v>3</v>
      </c>
      <c r="I15" s="65">
        <v>59.99</v>
      </c>
      <c r="J15" s="64" t="s">
        <v>28</v>
      </c>
      <c r="K15" s="64" t="s">
        <v>42</v>
      </c>
      <c r="L15" s="64" t="s">
        <v>38</v>
      </c>
      <c r="M15" s="63">
        <v>45351</v>
      </c>
      <c r="N15" s="68">
        <v>179.97</v>
      </c>
      <c r="O15" s="71"/>
      <c r="P15" t="str">
        <v>TRX0128</v>
      </c>
      <c r="Q15" s="59">
        <v>45444</v>
      </c>
      <c r="R15" t="str">
        <v>CUST040</v>
      </c>
      <c r="S15" t="str">
        <v>Sharon Butler</v>
      </c>
      <c r="T15" t="str">
        <v>P005</v>
      </c>
      <c r="U15" t="str">
        <v>Blender</v>
      </c>
      <c r="V15" t="str">
        <v>Appliances</v>
      </c>
      <c r="W15">
        <v>2</v>
      </c>
      <c r="X15">
        <v>59.99</v>
      </c>
      <c r="Y15" t="str">
        <v>Cash</v>
      </c>
      <c r="Z15" t="str">
        <v>West</v>
      </c>
      <c r="AA15" t="str">
        <v>Basic</v>
      </c>
      <c r="AB15">
        <v>45390</v>
      </c>
      <c r="AC15">
        <v>119.98</v>
      </c>
    </row>
    <row r="16" spans="1:29">
      <c r="A16" s="62" t="s">
        <v>79</v>
      </c>
      <c r="B16" s="63">
        <v>45409</v>
      </c>
      <c r="C16" s="64" t="s">
        <v>80</v>
      </c>
      <c r="D16" s="64" t="s">
        <v>81</v>
      </c>
      <c r="E16" s="64" t="s">
        <v>82</v>
      </c>
      <c r="F16" s="64" t="s">
        <v>83</v>
      </c>
      <c r="G16" s="64" t="s">
        <v>21</v>
      </c>
      <c r="H16" s="65">
        <v>3</v>
      </c>
      <c r="I16" s="65">
        <v>699.99</v>
      </c>
      <c r="J16" s="64" t="s">
        <v>28</v>
      </c>
      <c r="K16" s="64" t="s">
        <v>52</v>
      </c>
      <c r="L16" s="64" t="s">
        <v>24</v>
      </c>
      <c r="M16" s="63">
        <v>44577</v>
      </c>
      <c r="N16" s="68">
        <v>2099.9699999999998</v>
      </c>
      <c r="O16" s="71"/>
      <c r="P16" t="str">
        <v>TRX0061</v>
      </c>
      <c r="Q16" s="59">
        <v>45460</v>
      </c>
      <c r="R16" t="str">
        <v>CUST028</v>
      </c>
      <c r="S16" t="str">
        <v>Betty Campbell</v>
      </c>
      <c r="T16" t="str">
        <v>P005</v>
      </c>
      <c r="U16" t="str">
        <v>Blender</v>
      </c>
      <c r="V16" t="str">
        <v>Appliances</v>
      </c>
      <c r="W16">
        <v>1</v>
      </c>
      <c r="X16">
        <v>59.99</v>
      </c>
      <c r="Y16" t="str">
        <v>Debit Card</v>
      </c>
      <c r="Z16" t="str">
        <v>West</v>
      </c>
      <c r="AA16" t="str">
        <v>Premium</v>
      </c>
      <c r="AB16">
        <v>45190</v>
      </c>
      <c r="AC16">
        <v>59.99</v>
      </c>
    </row>
    <row r="17" spans="1:29">
      <c r="A17" s="62" t="s">
        <v>84</v>
      </c>
      <c r="B17" s="63">
        <v>45409</v>
      </c>
      <c r="C17" s="64" t="s">
        <v>85</v>
      </c>
      <c r="D17" s="64" t="s">
        <v>86</v>
      </c>
      <c r="E17" s="64" t="s">
        <v>63</v>
      </c>
      <c r="F17" s="64" t="s">
        <v>64</v>
      </c>
      <c r="G17" s="64" t="s">
        <v>21</v>
      </c>
      <c r="H17" s="65">
        <v>1</v>
      </c>
      <c r="I17" s="65">
        <v>899.99</v>
      </c>
      <c r="J17" s="64" t="s">
        <v>59</v>
      </c>
      <c r="K17" s="64" t="s">
        <v>42</v>
      </c>
      <c r="L17" s="64" t="s">
        <v>38</v>
      </c>
      <c r="M17" s="63">
        <v>44920</v>
      </c>
      <c r="N17" s="68">
        <v>899.99</v>
      </c>
      <c r="O17" s="71"/>
      <c r="P17" t="str">
        <v>TRX0007</v>
      </c>
      <c r="Q17" s="59">
        <v>45469</v>
      </c>
      <c r="R17" t="str">
        <v>CUST009</v>
      </c>
      <c r="S17" t="str">
        <v>Robert Thomas</v>
      </c>
      <c r="T17" t="str">
        <v>P010</v>
      </c>
      <c r="U17" t="str">
        <v>Keyboard</v>
      </c>
      <c r="V17" t="str">
        <v>Electronics</v>
      </c>
      <c r="W17">
        <v>2</v>
      </c>
      <c r="X17">
        <v>89.99</v>
      </c>
      <c r="Y17" t="str">
        <v>Cash</v>
      </c>
      <c r="Z17" t="str">
        <v>West</v>
      </c>
      <c r="AA17" t="str">
        <v>Basic</v>
      </c>
      <c r="AB17">
        <v>44438</v>
      </c>
      <c r="AC17">
        <v>179.98</v>
      </c>
    </row>
    <row r="18" spans="1:29">
      <c r="A18" s="62" t="s">
        <v>87</v>
      </c>
      <c r="B18" s="63">
        <v>45410</v>
      </c>
      <c r="C18" s="64" t="s">
        <v>88</v>
      </c>
      <c r="D18" s="64" t="s">
        <v>89</v>
      </c>
      <c r="E18" s="64" t="s">
        <v>46</v>
      </c>
      <c r="F18" s="64" t="s">
        <v>47</v>
      </c>
      <c r="G18" s="64" t="s">
        <v>48</v>
      </c>
      <c r="H18" s="65">
        <v>4</v>
      </c>
      <c r="I18" s="65">
        <v>149.99</v>
      </c>
      <c r="J18" s="64" t="s">
        <v>59</v>
      </c>
      <c r="K18" s="64" t="s">
        <v>42</v>
      </c>
      <c r="L18" s="64" t="s">
        <v>29</v>
      </c>
      <c r="M18" s="63">
        <v>45374</v>
      </c>
      <c r="N18" s="68">
        <v>599.96</v>
      </c>
      <c r="O18" s="71"/>
      <c r="P18" t="str">
        <v>TRX0192</v>
      </c>
      <c r="Q18" s="59">
        <v>45475</v>
      </c>
      <c r="R18" t="str">
        <v>CUST017</v>
      </c>
      <c r="S18" t="str">
        <v>Charles Allen</v>
      </c>
      <c r="T18" t="str">
        <v>P010</v>
      </c>
      <c r="U18" t="str">
        <v>Keyboard</v>
      </c>
      <c r="V18" t="str">
        <v>Electronics</v>
      </c>
      <c r="W18">
        <v>1</v>
      </c>
      <c r="X18">
        <v>89.99</v>
      </c>
      <c r="Y18" t="str">
        <v>PayPal</v>
      </c>
      <c r="Z18" t="str">
        <v>West</v>
      </c>
      <c r="AA18" t="str">
        <v>Standard</v>
      </c>
      <c r="AB18">
        <v>44802</v>
      </c>
      <c r="AC18">
        <v>89.99</v>
      </c>
    </row>
    <row r="19" spans="1:29">
      <c r="A19" s="62" t="s">
        <v>90</v>
      </c>
      <c r="B19" s="63">
        <v>45410</v>
      </c>
      <c r="C19" s="64" t="s">
        <v>91</v>
      </c>
      <c r="D19" s="64" t="s">
        <v>92</v>
      </c>
      <c r="E19" s="64" t="s">
        <v>82</v>
      </c>
      <c r="F19" s="64" t="s">
        <v>83</v>
      </c>
      <c r="G19" s="64" t="s">
        <v>21</v>
      </c>
      <c r="H19" s="65">
        <v>2</v>
      </c>
      <c r="I19" s="65">
        <v>699.99</v>
      </c>
      <c r="J19" s="64" t="s">
        <v>22</v>
      </c>
      <c r="K19" s="64" t="s">
        <v>42</v>
      </c>
      <c r="L19" s="64" t="s">
        <v>24</v>
      </c>
      <c r="M19" s="63">
        <v>44781</v>
      </c>
      <c r="N19" s="68">
        <v>1399.98</v>
      </c>
      <c r="O19" s="71"/>
      <c r="P19" t="str">
        <v>TRX0169</v>
      </c>
      <c r="Q19" s="59">
        <v>45490</v>
      </c>
      <c r="R19" t="str">
        <v>CUST047</v>
      </c>
      <c r="S19" t="str">
        <v>Gerald Murphy</v>
      </c>
      <c r="T19" t="str">
        <v>P005</v>
      </c>
      <c r="U19" t="str">
        <v>Blender</v>
      </c>
      <c r="V19" t="str">
        <v>Appliances</v>
      </c>
      <c r="W19">
        <v>3</v>
      </c>
      <c r="X19">
        <v>59.99</v>
      </c>
      <c r="Y19" t="str">
        <v>Credit Card</v>
      </c>
      <c r="Z19" t="str">
        <v>West</v>
      </c>
      <c r="AA19" t="str">
        <v>Basic</v>
      </c>
      <c r="AB19">
        <v>45130</v>
      </c>
      <c r="AC19">
        <v>179.97</v>
      </c>
    </row>
    <row r="20" spans="1:29">
      <c r="A20" s="62" t="s">
        <v>93</v>
      </c>
      <c r="B20" s="63">
        <v>45410</v>
      </c>
      <c r="C20" s="64" t="s">
        <v>88</v>
      </c>
      <c r="D20" s="64" t="s">
        <v>89</v>
      </c>
      <c r="E20" s="64" t="s">
        <v>63</v>
      </c>
      <c r="F20" s="64" t="s">
        <v>64</v>
      </c>
      <c r="G20" s="64" t="s">
        <v>21</v>
      </c>
      <c r="H20" s="65">
        <v>4</v>
      </c>
      <c r="I20" s="65">
        <v>899.99</v>
      </c>
      <c r="J20" s="64" t="s">
        <v>28</v>
      </c>
      <c r="K20" s="64" t="s">
        <v>52</v>
      </c>
      <c r="L20" s="64" t="s">
        <v>38</v>
      </c>
      <c r="M20" s="63">
        <v>45327</v>
      </c>
      <c r="N20" s="68">
        <v>3599.96</v>
      </c>
      <c r="O20" s="71"/>
      <c r="P20" t="str">
        <v>TRX0065</v>
      </c>
      <c r="Q20" s="59">
        <v>45509</v>
      </c>
      <c r="R20" t="str">
        <v>CUST016</v>
      </c>
      <c r="S20" t="str">
        <v>Elizabeth Hall</v>
      </c>
      <c r="T20" t="str">
        <v>P008</v>
      </c>
      <c r="U20" t="str">
        <v>Bookshelf</v>
      </c>
      <c r="V20" t="str">
        <v>Furniture</v>
      </c>
      <c r="W20">
        <v>2</v>
      </c>
      <c r="X20">
        <v>149.99</v>
      </c>
      <c r="Y20" t="str">
        <v>Credit Card</v>
      </c>
      <c r="Z20" t="str">
        <v>West</v>
      </c>
      <c r="AA20" t="str">
        <v>Basic</v>
      </c>
      <c r="AB20">
        <v>44542</v>
      </c>
      <c r="AC20">
        <v>299.98</v>
      </c>
    </row>
    <row r="21" spans="1:29">
      <c r="A21" s="62" t="s">
        <v>94</v>
      </c>
      <c r="B21" s="63">
        <v>45410</v>
      </c>
      <c r="C21" s="64" t="s">
        <v>95</v>
      </c>
      <c r="D21" s="64" t="s">
        <v>96</v>
      </c>
      <c r="E21" s="64" t="s">
        <v>19</v>
      </c>
      <c r="F21" s="64" t="s">
        <v>20</v>
      </c>
      <c r="G21" s="64" t="s">
        <v>21</v>
      </c>
      <c r="H21" s="65">
        <v>3</v>
      </c>
      <c r="I21" s="65">
        <v>249.99</v>
      </c>
      <c r="J21" s="64" t="s">
        <v>28</v>
      </c>
      <c r="K21" s="64" t="s">
        <v>42</v>
      </c>
      <c r="L21" s="64" t="s">
        <v>29</v>
      </c>
      <c r="M21" s="63">
        <v>45224</v>
      </c>
      <c r="N21" s="68">
        <v>749.97</v>
      </c>
      <c r="O21" s="71"/>
      <c r="P21" t="str">
        <v>TRX0170</v>
      </c>
      <c r="Q21" s="59">
        <v>45532</v>
      </c>
      <c r="R21" t="str">
        <v>CUST034</v>
      </c>
      <c r="S21" t="str">
        <v>Carol Evans</v>
      </c>
      <c r="T21" t="str">
        <v>P003</v>
      </c>
      <c r="U21" t="str">
        <v>Headphones</v>
      </c>
      <c r="V21" t="str">
        <v>Electronics</v>
      </c>
      <c r="W21">
        <v>3</v>
      </c>
      <c r="X21">
        <v>149.99</v>
      </c>
      <c r="Y21" t="str">
        <v>Cash</v>
      </c>
      <c r="Z21" t="str">
        <v>West</v>
      </c>
      <c r="AA21" t="str">
        <v>Premium</v>
      </c>
      <c r="AB21">
        <v>45212</v>
      </c>
      <c r="AC21">
        <v>449.97</v>
      </c>
    </row>
    <row r="22" spans="1:29">
      <c r="A22" s="62" t="s">
        <v>97</v>
      </c>
      <c r="B22" s="63">
        <v>45412</v>
      </c>
      <c r="C22" s="64" t="s">
        <v>98</v>
      </c>
      <c r="D22" s="64" t="s">
        <v>99</v>
      </c>
      <c r="E22" s="64" t="s">
        <v>82</v>
      </c>
      <c r="F22" s="64" t="s">
        <v>83</v>
      </c>
      <c r="G22" s="64" t="s">
        <v>21</v>
      </c>
      <c r="H22" s="65">
        <v>5</v>
      </c>
      <c r="I22" s="65">
        <v>699.99</v>
      </c>
      <c r="J22" s="64" t="s">
        <v>22</v>
      </c>
      <c r="K22" s="64" t="s">
        <v>52</v>
      </c>
      <c r="L22" s="64" t="s">
        <v>24</v>
      </c>
      <c r="M22" s="63">
        <v>45167</v>
      </c>
      <c r="N22" s="68">
        <v>3499.95</v>
      </c>
      <c r="O22" s="71"/>
      <c r="P22" t="str">
        <v>TRX0099</v>
      </c>
      <c r="Q22" s="59">
        <v>45537</v>
      </c>
      <c r="R22" t="str">
        <v>CUST034</v>
      </c>
      <c r="S22" t="str">
        <v>Carol Evans</v>
      </c>
      <c r="T22" t="str">
        <v>P009</v>
      </c>
      <c r="U22" t="str">
        <v>Monitor</v>
      </c>
      <c r="V22" t="str">
        <v>Electronics</v>
      </c>
      <c r="W22">
        <v>1</v>
      </c>
      <c r="X22">
        <v>249.99</v>
      </c>
      <c r="Y22" t="str">
        <v>Credit Card</v>
      </c>
      <c r="Z22" t="str">
        <v>West</v>
      </c>
      <c r="AA22" t="str">
        <v>Premium</v>
      </c>
      <c r="AB22">
        <v>44685</v>
      </c>
      <c r="AC22">
        <v>249.99</v>
      </c>
    </row>
    <row r="23" spans="1:29">
      <c r="A23" s="62" t="s">
        <v>100</v>
      </c>
      <c r="B23" s="63">
        <v>45413</v>
      </c>
      <c r="C23" s="64" t="s">
        <v>101</v>
      </c>
      <c r="D23" s="64" t="s">
        <v>102</v>
      </c>
      <c r="E23" s="64" t="s">
        <v>82</v>
      </c>
      <c r="F23" s="64" t="s">
        <v>83</v>
      </c>
      <c r="G23" s="64" t="s">
        <v>21</v>
      </c>
      <c r="H23" s="65">
        <v>4</v>
      </c>
      <c r="I23" s="65">
        <v>699.99</v>
      </c>
      <c r="J23" s="64" t="s">
        <v>22</v>
      </c>
      <c r="K23" s="64" t="s">
        <v>65</v>
      </c>
      <c r="L23" s="64" t="s">
        <v>38</v>
      </c>
      <c r="M23" s="63">
        <v>44409</v>
      </c>
      <c r="N23" s="68">
        <v>2799.96</v>
      </c>
      <c r="O23" s="71"/>
      <c r="P23" t="str">
        <v>TRX0161</v>
      </c>
      <c r="Q23" s="59">
        <v>45545</v>
      </c>
      <c r="R23" t="str">
        <v>CUST017</v>
      </c>
      <c r="S23" t="str">
        <v>Charles Allen</v>
      </c>
      <c r="T23" t="str">
        <v>P004</v>
      </c>
      <c r="U23" t="str">
        <v>Coffee Maker</v>
      </c>
      <c r="V23" t="str">
        <v>Appliances</v>
      </c>
      <c r="W23">
        <v>1</v>
      </c>
      <c r="X23">
        <v>79.989999999999995</v>
      </c>
      <c r="Y23" t="str">
        <v>Cash</v>
      </c>
      <c r="Z23" t="str">
        <v>West</v>
      </c>
      <c r="AA23" t="str">
        <v>Basic</v>
      </c>
      <c r="AB23">
        <v>44693</v>
      </c>
      <c r="AC23">
        <v>79.989999999999995</v>
      </c>
    </row>
    <row r="24" spans="1:29">
      <c r="A24" s="62" t="s">
        <v>103</v>
      </c>
      <c r="B24" s="63">
        <v>45415</v>
      </c>
      <c r="C24" s="64" t="s">
        <v>104</v>
      </c>
      <c r="D24" s="64" t="s">
        <v>105</v>
      </c>
      <c r="E24" s="64" t="s">
        <v>19</v>
      </c>
      <c r="F24" s="64" t="s">
        <v>20</v>
      </c>
      <c r="G24" s="64" t="s">
        <v>21</v>
      </c>
      <c r="H24" s="65">
        <v>4</v>
      </c>
      <c r="I24" s="65">
        <v>249.99</v>
      </c>
      <c r="J24" s="64" t="s">
        <v>36</v>
      </c>
      <c r="K24" s="64" t="s">
        <v>42</v>
      </c>
      <c r="L24" s="64" t="s">
        <v>38</v>
      </c>
      <c r="M24" s="63">
        <v>44468</v>
      </c>
      <c r="N24" s="68">
        <v>999.96</v>
      </c>
      <c r="O24" s="71"/>
      <c r="P24" t="str">
        <v>TRX0158</v>
      </c>
      <c r="Q24" s="59">
        <v>45579</v>
      </c>
      <c r="R24" t="str">
        <v>CUST027</v>
      </c>
      <c r="S24" t="str">
        <v>George Adams</v>
      </c>
      <c r="T24" t="str">
        <v>P001</v>
      </c>
      <c r="U24" t="str">
        <v>Laptop</v>
      </c>
      <c r="V24" t="str">
        <v>Electronics</v>
      </c>
      <c r="W24">
        <v>3</v>
      </c>
      <c r="X24">
        <v>899.99</v>
      </c>
      <c r="Y24" t="str">
        <v>PayPal</v>
      </c>
      <c r="Z24" t="str">
        <v>West</v>
      </c>
      <c r="AA24" t="str">
        <v>Basic</v>
      </c>
      <c r="AB24">
        <v>45215</v>
      </c>
      <c r="AC24">
        <v>2699.97</v>
      </c>
    </row>
    <row r="25" spans="1:29">
      <c r="A25" s="62" t="s">
        <v>106</v>
      </c>
      <c r="B25" s="63">
        <v>45416</v>
      </c>
      <c r="C25" s="64" t="s">
        <v>88</v>
      </c>
      <c r="D25" s="64" t="s">
        <v>89</v>
      </c>
      <c r="E25" s="64" t="s">
        <v>107</v>
      </c>
      <c r="F25" s="64" t="s">
        <v>108</v>
      </c>
      <c r="G25" s="64" t="s">
        <v>48</v>
      </c>
      <c r="H25" s="65">
        <v>4</v>
      </c>
      <c r="I25" s="65">
        <v>299.99</v>
      </c>
      <c r="J25" s="64" t="s">
        <v>22</v>
      </c>
      <c r="K25" s="64" t="s">
        <v>52</v>
      </c>
      <c r="L25" s="64" t="s">
        <v>29</v>
      </c>
      <c r="M25" s="63">
        <v>44716</v>
      </c>
      <c r="N25" s="68">
        <v>1199.96</v>
      </c>
      <c r="O25" s="71"/>
      <c r="P25" t="str">
        <v>TRX0190</v>
      </c>
      <c r="Q25" s="59">
        <v>45583</v>
      </c>
      <c r="R25" t="str">
        <v>CUST039</v>
      </c>
      <c r="S25" t="str">
        <v>Lawrence Reed</v>
      </c>
      <c r="T25" t="str">
        <v>P003</v>
      </c>
      <c r="U25" t="str">
        <v>Headphones</v>
      </c>
      <c r="V25" t="str">
        <v>Electronics</v>
      </c>
      <c r="W25">
        <v>2</v>
      </c>
      <c r="X25">
        <v>149.99</v>
      </c>
      <c r="Y25" t="str">
        <v>Credit Card</v>
      </c>
      <c r="Z25" t="str">
        <v>West</v>
      </c>
      <c r="AA25" t="str">
        <v>Basic</v>
      </c>
      <c r="AB25">
        <v>44916</v>
      </c>
      <c r="AC25">
        <v>299.98</v>
      </c>
    </row>
    <row r="26" spans="1:29">
      <c r="A26" s="62" t="s">
        <v>109</v>
      </c>
      <c r="B26" s="63">
        <v>45422</v>
      </c>
      <c r="C26" s="64" t="s">
        <v>110</v>
      </c>
      <c r="D26" s="64" t="s">
        <v>111</v>
      </c>
      <c r="E26" s="64" t="s">
        <v>19</v>
      </c>
      <c r="F26" s="64" t="s">
        <v>20</v>
      </c>
      <c r="G26" s="64" t="s">
        <v>21</v>
      </c>
      <c r="H26" s="65">
        <v>5</v>
      </c>
      <c r="I26" s="65">
        <v>249.99</v>
      </c>
      <c r="J26" s="64" t="s">
        <v>28</v>
      </c>
      <c r="K26" s="64" t="s">
        <v>52</v>
      </c>
      <c r="L26" s="64" t="s">
        <v>38</v>
      </c>
      <c r="M26" s="63">
        <v>44525</v>
      </c>
      <c r="N26" s="68">
        <v>1249.95</v>
      </c>
      <c r="O26" s="71"/>
      <c r="P26" t="str">
        <v>TRX0109</v>
      </c>
      <c r="Q26" s="59">
        <v>45604</v>
      </c>
      <c r="R26" t="str">
        <v>CUST010</v>
      </c>
      <c r="S26" t="str">
        <v>Maria Garcia</v>
      </c>
      <c r="T26" t="str">
        <v>P008</v>
      </c>
      <c r="U26" t="str">
        <v>Bookshelf</v>
      </c>
      <c r="V26" t="str">
        <v>Furniture</v>
      </c>
      <c r="W26">
        <v>2</v>
      </c>
      <c r="X26">
        <v>149.99</v>
      </c>
      <c r="Y26" t="str">
        <v>Credit Card</v>
      </c>
      <c r="Z26" t="str">
        <v>West</v>
      </c>
      <c r="AA26" t="str">
        <v>Premium</v>
      </c>
      <c r="AB26">
        <v>44848</v>
      </c>
      <c r="AC26">
        <v>299.98</v>
      </c>
    </row>
    <row r="27" spans="1:29">
      <c r="A27" s="62" t="s">
        <v>112</v>
      </c>
      <c r="B27" s="63">
        <v>45424</v>
      </c>
      <c r="C27" s="64" t="s">
        <v>70</v>
      </c>
      <c r="D27" s="64" t="s">
        <v>71</v>
      </c>
      <c r="E27" s="64" t="s">
        <v>107</v>
      </c>
      <c r="F27" s="64" t="s">
        <v>108</v>
      </c>
      <c r="G27" s="64" t="s">
        <v>48</v>
      </c>
      <c r="H27" s="65">
        <v>5</v>
      </c>
      <c r="I27" s="65">
        <v>299.99</v>
      </c>
      <c r="J27" s="64" t="s">
        <v>36</v>
      </c>
      <c r="K27" s="64" t="s">
        <v>65</v>
      </c>
      <c r="L27" s="64" t="s">
        <v>24</v>
      </c>
      <c r="M27" s="63">
        <v>45168</v>
      </c>
      <c r="N27" s="68">
        <v>1499.95</v>
      </c>
      <c r="O27" s="71"/>
      <c r="P27" t="str">
        <v>TRX0172</v>
      </c>
      <c r="Q27" s="59">
        <v>45607</v>
      </c>
      <c r="R27" t="str">
        <v>CUST023</v>
      </c>
      <c r="S27" t="str">
        <v>Paul Baker</v>
      </c>
      <c r="T27" t="str">
        <v>P005</v>
      </c>
      <c r="U27" t="str">
        <v>Blender</v>
      </c>
      <c r="V27" t="str">
        <v>Appliances</v>
      </c>
      <c r="W27">
        <v>5</v>
      </c>
      <c r="X27">
        <v>59.99</v>
      </c>
      <c r="Y27" t="str">
        <v>PayPal</v>
      </c>
      <c r="Z27" t="str">
        <v>West</v>
      </c>
      <c r="AA27" t="str">
        <v>Premium</v>
      </c>
      <c r="AB27">
        <v>44694</v>
      </c>
      <c r="AC27">
        <v>299.95</v>
      </c>
    </row>
    <row r="28" spans="1:29">
      <c r="A28" s="62" t="s">
        <v>113</v>
      </c>
      <c r="B28" s="63">
        <v>45424</v>
      </c>
      <c r="C28" s="64" t="s">
        <v>114</v>
      </c>
      <c r="D28" s="64" t="s">
        <v>115</v>
      </c>
      <c r="E28" s="64" t="s">
        <v>116</v>
      </c>
      <c r="F28" s="64" t="s">
        <v>117</v>
      </c>
      <c r="G28" s="64" t="s">
        <v>35</v>
      </c>
      <c r="H28" s="65">
        <v>3</v>
      </c>
      <c r="I28" s="65">
        <v>79.989999999999995</v>
      </c>
      <c r="J28" s="64" t="s">
        <v>36</v>
      </c>
      <c r="K28" s="64" t="s">
        <v>65</v>
      </c>
      <c r="L28" s="64" t="s">
        <v>29</v>
      </c>
      <c r="M28" s="63">
        <v>45012</v>
      </c>
      <c r="N28" s="68">
        <v>239.97</v>
      </c>
      <c r="O28" s="71"/>
      <c r="P28" t="str">
        <v>TRX0076</v>
      </c>
      <c r="Q28" s="59">
        <v>45607</v>
      </c>
      <c r="R28" t="str">
        <v>CUST012</v>
      </c>
      <c r="S28" t="str">
        <v>Patricia Moore</v>
      </c>
      <c r="T28" t="str">
        <v>P009</v>
      </c>
      <c r="U28" t="str">
        <v>Monitor</v>
      </c>
      <c r="V28" t="str">
        <v>Electronics</v>
      </c>
      <c r="W28">
        <v>4</v>
      </c>
      <c r="X28">
        <v>249.99</v>
      </c>
      <c r="Y28" t="str">
        <v>Credit Card</v>
      </c>
      <c r="Z28" t="str">
        <v>West</v>
      </c>
      <c r="AA28" t="str">
        <v>Standard</v>
      </c>
      <c r="AB28">
        <v>44659</v>
      </c>
      <c r="AC28">
        <v>999.96</v>
      </c>
    </row>
    <row r="29" spans="1:29">
      <c r="A29" s="62" t="s">
        <v>118</v>
      </c>
      <c r="B29" s="63">
        <v>45424</v>
      </c>
      <c r="C29" s="64" t="s">
        <v>101</v>
      </c>
      <c r="D29" s="64" t="s">
        <v>102</v>
      </c>
      <c r="E29" s="64" t="s">
        <v>119</v>
      </c>
      <c r="F29" s="64" t="s">
        <v>120</v>
      </c>
      <c r="G29" s="64" t="s">
        <v>21</v>
      </c>
      <c r="H29" s="65">
        <v>5</v>
      </c>
      <c r="I29" s="65">
        <v>89.99</v>
      </c>
      <c r="J29" s="64" t="s">
        <v>22</v>
      </c>
      <c r="K29" s="64" t="s">
        <v>42</v>
      </c>
      <c r="L29" s="64" t="s">
        <v>29</v>
      </c>
      <c r="M29" s="63">
        <v>44919</v>
      </c>
      <c r="N29" s="68">
        <v>449.95</v>
      </c>
      <c r="O29" s="71"/>
      <c r="P29" t="str">
        <v>TRX0033</v>
      </c>
      <c r="Q29" s="59">
        <v>45613</v>
      </c>
      <c r="R29" t="str">
        <v>CUST025</v>
      </c>
      <c r="S29" t="str">
        <v>Mark Carter</v>
      </c>
      <c r="T29" t="str">
        <v>P002</v>
      </c>
      <c r="U29" t="str">
        <v>Smartphone</v>
      </c>
      <c r="V29" t="str">
        <v>Electronics</v>
      </c>
      <c r="W29">
        <v>2</v>
      </c>
      <c r="X29">
        <v>699.99</v>
      </c>
      <c r="Y29" t="str">
        <v>PayPal</v>
      </c>
      <c r="Z29" t="str">
        <v>West</v>
      </c>
      <c r="AA29" t="str">
        <v>Standard</v>
      </c>
      <c r="AB29">
        <v>44770</v>
      </c>
      <c r="AC29">
        <v>1399.98</v>
      </c>
    </row>
    <row r="30" spans="1:29">
      <c r="A30" s="62" t="s">
        <v>121</v>
      </c>
      <c r="B30" s="63">
        <v>45425</v>
      </c>
      <c r="C30" s="64" t="s">
        <v>122</v>
      </c>
      <c r="D30" s="64" t="s">
        <v>123</v>
      </c>
      <c r="E30" s="64" t="s">
        <v>33</v>
      </c>
      <c r="F30" s="64" t="s">
        <v>34</v>
      </c>
      <c r="G30" s="64" t="s">
        <v>35</v>
      </c>
      <c r="H30" s="65">
        <v>2</v>
      </c>
      <c r="I30" s="65">
        <v>59.99</v>
      </c>
      <c r="J30" s="64" t="s">
        <v>59</v>
      </c>
      <c r="K30" s="64" t="s">
        <v>23</v>
      </c>
      <c r="L30" s="64" t="s">
        <v>38</v>
      </c>
      <c r="M30" s="63">
        <v>45214</v>
      </c>
      <c r="N30" s="68">
        <v>119.98</v>
      </c>
      <c r="O30" s="71"/>
      <c r="P30" t="str">
        <v>TRX0145</v>
      </c>
      <c r="Q30" s="59">
        <v>45619</v>
      </c>
      <c r="R30" t="str">
        <v>CUST033</v>
      </c>
      <c r="S30" t="str">
        <v>Frank Torres</v>
      </c>
      <c r="T30" t="str">
        <v>P005</v>
      </c>
      <c r="U30" t="str">
        <v>Blender</v>
      </c>
      <c r="V30" t="str">
        <v>Appliances</v>
      </c>
      <c r="W30">
        <v>1</v>
      </c>
      <c r="X30">
        <v>59.99</v>
      </c>
      <c r="Y30" t="str">
        <v>Debit Card</v>
      </c>
      <c r="Z30" t="str">
        <v>West</v>
      </c>
      <c r="AA30" t="str">
        <v>Standard</v>
      </c>
      <c r="AB30">
        <v>44560</v>
      </c>
      <c r="AC30">
        <v>59.99</v>
      </c>
    </row>
    <row r="31" spans="1:29">
      <c r="A31" s="62" t="s">
        <v>124</v>
      </c>
      <c r="B31" s="63">
        <v>45427</v>
      </c>
      <c r="C31" s="64" t="s">
        <v>125</v>
      </c>
      <c r="D31" s="64" t="s">
        <v>126</v>
      </c>
      <c r="E31" s="64" t="s">
        <v>33</v>
      </c>
      <c r="F31" s="64" t="s">
        <v>34</v>
      </c>
      <c r="G31" s="64" t="s">
        <v>35</v>
      </c>
      <c r="H31" s="65">
        <v>4</v>
      </c>
      <c r="I31" s="65">
        <v>59.99</v>
      </c>
      <c r="J31" s="64" t="s">
        <v>59</v>
      </c>
      <c r="K31" s="64" t="s">
        <v>65</v>
      </c>
      <c r="L31" s="64" t="s">
        <v>38</v>
      </c>
      <c r="M31" s="63">
        <v>44867</v>
      </c>
      <c r="N31" s="68">
        <v>239.96</v>
      </c>
      <c r="O31" s="71"/>
      <c r="P31" t="str">
        <v>TRX0148</v>
      </c>
      <c r="Q31" s="59">
        <v>45619</v>
      </c>
      <c r="R31" t="str">
        <v>CUST004</v>
      </c>
      <c r="S31" t="str">
        <v>Sarah Davis</v>
      </c>
      <c r="T31" t="str">
        <v>P002</v>
      </c>
      <c r="U31" t="str">
        <v>Smartphone</v>
      </c>
      <c r="V31" t="str">
        <v>Electronics</v>
      </c>
      <c r="W31">
        <v>3</v>
      </c>
      <c r="X31">
        <v>699.99</v>
      </c>
      <c r="Y31" t="str">
        <v>PayPal</v>
      </c>
      <c r="Z31" t="str">
        <v>West</v>
      </c>
      <c r="AA31" t="str">
        <v>Standard</v>
      </c>
      <c r="AB31">
        <v>44583</v>
      </c>
      <c r="AC31">
        <v>2099.9699999999998</v>
      </c>
    </row>
    <row r="32" spans="1:29">
      <c r="A32" s="62" t="s">
        <v>127</v>
      </c>
      <c r="B32" s="63">
        <v>45427</v>
      </c>
      <c r="C32" s="64" t="s">
        <v>57</v>
      </c>
      <c r="D32" s="64" t="s">
        <v>58</v>
      </c>
      <c r="E32" s="64" t="s">
        <v>128</v>
      </c>
      <c r="F32" s="64" t="s">
        <v>129</v>
      </c>
      <c r="G32" s="64" t="s">
        <v>48</v>
      </c>
      <c r="H32" s="65">
        <v>5</v>
      </c>
      <c r="I32" s="65">
        <v>199.99</v>
      </c>
      <c r="J32" s="64" t="s">
        <v>22</v>
      </c>
      <c r="K32" s="64" t="s">
        <v>37</v>
      </c>
      <c r="L32" s="64" t="s">
        <v>38</v>
      </c>
      <c r="M32" s="63">
        <v>44412</v>
      </c>
      <c r="N32" s="68">
        <v>999.95</v>
      </c>
      <c r="O32" s="71"/>
      <c r="P32" t="str">
        <v>TRX0201</v>
      </c>
      <c r="Q32" s="59">
        <v>45627</v>
      </c>
      <c r="R32" t="str">
        <v>CUST025</v>
      </c>
      <c r="S32" t="str">
        <v>Mark Carter</v>
      </c>
      <c r="T32" t="str">
        <v>P002</v>
      </c>
      <c r="U32" t="str">
        <v>Smartphone</v>
      </c>
      <c r="V32" t="str">
        <v>Electronics</v>
      </c>
      <c r="W32">
        <v>5</v>
      </c>
      <c r="X32">
        <v>699.99</v>
      </c>
      <c r="Y32" t="str">
        <v>Debit Card</v>
      </c>
      <c r="Z32" t="str">
        <v>West</v>
      </c>
      <c r="AA32" t="str">
        <v>Standard</v>
      </c>
      <c r="AB32">
        <v>44944</v>
      </c>
      <c r="AC32">
        <v>3499.95</v>
      </c>
    </row>
    <row r="33" spans="1:29">
      <c r="A33" s="62" t="s">
        <v>130</v>
      </c>
      <c r="B33" s="63">
        <v>45428</v>
      </c>
      <c r="C33" s="64" t="s">
        <v>131</v>
      </c>
      <c r="D33" s="64" t="s">
        <v>132</v>
      </c>
      <c r="E33" s="64" t="s">
        <v>46</v>
      </c>
      <c r="F33" s="64" t="s">
        <v>47</v>
      </c>
      <c r="G33" s="64" t="s">
        <v>48</v>
      </c>
      <c r="H33" s="65">
        <v>2</v>
      </c>
      <c r="I33" s="65">
        <v>149.99</v>
      </c>
      <c r="J33" s="64" t="s">
        <v>28</v>
      </c>
      <c r="K33" s="64" t="s">
        <v>52</v>
      </c>
      <c r="L33" s="64" t="s">
        <v>24</v>
      </c>
      <c r="M33" s="63">
        <v>44823</v>
      </c>
      <c r="N33" s="68">
        <v>299.98</v>
      </c>
      <c r="O33" s="71"/>
      <c r="P33" t="str">
        <v>TRX0028</v>
      </c>
      <c r="Q33" s="59">
        <v>45644</v>
      </c>
      <c r="R33" t="str">
        <v>CUST002</v>
      </c>
      <c r="S33" t="str">
        <v>Emma Wilson</v>
      </c>
      <c r="T33" t="str">
        <v>P005</v>
      </c>
      <c r="U33" t="str">
        <v>Blender</v>
      </c>
      <c r="V33" t="str">
        <v>Appliances</v>
      </c>
      <c r="W33">
        <v>2</v>
      </c>
      <c r="X33">
        <v>59.99</v>
      </c>
      <c r="Y33" t="str">
        <v>Cash</v>
      </c>
      <c r="Z33" t="str">
        <v>West</v>
      </c>
      <c r="AA33" t="str">
        <v>Basic</v>
      </c>
      <c r="AB33">
        <v>45191</v>
      </c>
      <c r="AC33">
        <v>119.98</v>
      </c>
    </row>
    <row r="34" spans="1:29">
      <c r="A34" s="62" t="s">
        <v>133</v>
      </c>
      <c r="B34" s="63">
        <v>45430</v>
      </c>
      <c r="C34" s="64" t="s">
        <v>134</v>
      </c>
      <c r="D34" s="64" t="s">
        <v>135</v>
      </c>
      <c r="E34" s="64" t="s">
        <v>46</v>
      </c>
      <c r="F34" s="64" t="s">
        <v>47</v>
      </c>
      <c r="G34" s="64" t="s">
        <v>48</v>
      </c>
      <c r="H34" s="65">
        <v>3</v>
      </c>
      <c r="I34" s="65">
        <v>149.99</v>
      </c>
      <c r="J34" s="64" t="s">
        <v>28</v>
      </c>
      <c r="K34" s="64" t="s">
        <v>52</v>
      </c>
      <c r="L34" s="64" t="s">
        <v>29</v>
      </c>
      <c r="M34" s="63">
        <v>45068</v>
      </c>
      <c r="N34" s="68">
        <v>449.97</v>
      </c>
      <c r="O34" s="71"/>
      <c r="P34" t="str">
        <v>TRX0164</v>
      </c>
      <c r="Q34" s="59">
        <v>45648</v>
      </c>
      <c r="R34" t="str">
        <v>CUST014</v>
      </c>
      <c r="S34" t="str">
        <v>Linda Martin</v>
      </c>
      <c r="T34" t="str">
        <v>P003</v>
      </c>
      <c r="U34" t="str">
        <v>Headphones</v>
      </c>
      <c r="V34" t="str">
        <v>Electronics</v>
      </c>
      <c r="W34">
        <v>2</v>
      </c>
      <c r="X34">
        <v>149.99</v>
      </c>
      <c r="Y34" t="str">
        <v>Debit Card</v>
      </c>
      <c r="Z34" t="str">
        <v>West</v>
      </c>
      <c r="AA34" t="str">
        <v>Premium</v>
      </c>
      <c r="AB34">
        <v>45280</v>
      </c>
      <c r="AC34">
        <v>299.98</v>
      </c>
    </row>
    <row r="35" spans="1:29">
      <c r="A35" s="62" t="s">
        <v>136</v>
      </c>
      <c r="B35" s="63">
        <v>45432</v>
      </c>
      <c r="C35" s="64" t="s">
        <v>31</v>
      </c>
      <c r="D35" s="64" t="s">
        <v>32</v>
      </c>
      <c r="E35" s="64" t="s">
        <v>63</v>
      </c>
      <c r="F35" s="64" t="s">
        <v>64</v>
      </c>
      <c r="G35" s="64" t="s">
        <v>21</v>
      </c>
      <c r="H35" s="65">
        <v>1</v>
      </c>
      <c r="I35" s="65">
        <v>899.99</v>
      </c>
      <c r="J35" s="64" t="s">
        <v>28</v>
      </c>
      <c r="K35" s="64" t="s">
        <v>52</v>
      </c>
      <c r="L35" s="64" t="s">
        <v>29</v>
      </c>
      <c r="M35" s="63">
        <v>44578</v>
      </c>
      <c r="N35" s="68">
        <v>899.99</v>
      </c>
      <c r="O35" s="71"/>
      <c r="P35" t="str">
        <v>TRX0143</v>
      </c>
      <c r="Q35" s="59">
        <v>45654</v>
      </c>
      <c r="R35" t="str">
        <v>CUST003</v>
      </c>
      <c r="S35" t="str">
        <v>Michael Brown</v>
      </c>
      <c r="T35" t="str">
        <v>P007</v>
      </c>
      <c r="U35" t="str">
        <v>Desk</v>
      </c>
      <c r="V35" t="str">
        <v>Furniture</v>
      </c>
      <c r="W35">
        <v>2</v>
      </c>
      <c r="X35">
        <v>299.99</v>
      </c>
      <c r="Y35" t="str">
        <v>Cash</v>
      </c>
      <c r="Z35" t="str">
        <v>West</v>
      </c>
      <c r="AA35" t="str">
        <v>Basic</v>
      </c>
      <c r="AB35">
        <v>44771</v>
      </c>
      <c r="AC35">
        <v>599.98</v>
      </c>
    </row>
    <row r="36" spans="1:29">
      <c r="A36" s="62" t="s">
        <v>137</v>
      </c>
      <c r="B36" s="63">
        <v>45434</v>
      </c>
      <c r="C36" s="64" t="s">
        <v>101</v>
      </c>
      <c r="D36" s="64" t="s">
        <v>102</v>
      </c>
      <c r="E36" s="64" t="s">
        <v>107</v>
      </c>
      <c r="F36" s="64" t="s">
        <v>108</v>
      </c>
      <c r="G36" s="64" t="s">
        <v>48</v>
      </c>
      <c r="H36" s="65">
        <v>3</v>
      </c>
      <c r="I36" s="65">
        <v>299.99</v>
      </c>
      <c r="J36" s="64" t="s">
        <v>28</v>
      </c>
      <c r="K36" s="64" t="s">
        <v>65</v>
      </c>
      <c r="L36" s="64" t="s">
        <v>24</v>
      </c>
      <c r="M36" s="63">
        <v>44824</v>
      </c>
      <c r="N36" s="68">
        <v>899.97</v>
      </c>
      <c r="O36" s="71"/>
      <c r="P36" t="str">
        <v>TRX0178</v>
      </c>
      <c r="Q36" s="59">
        <v>45686</v>
      </c>
      <c r="R36" t="str">
        <v>CUST025</v>
      </c>
      <c r="S36" t="str">
        <v>Mark Carter</v>
      </c>
      <c r="T36" t="str">
        <v>P007</v>
      </c>
      <c r="U36" t="str">
        <v>Desk</v>
      </c>
      <c r="V36" t="str">
        <v>Furniture</v>
      </c>
      <c r="W36">
        <v>3</v>
      </c>
      <c r="X36">
        <v>299.99</v>
      </c>
      <c r="Y36" t="str">
        <v>Debit Card</v>
      </c>
      <c r="Z36" t="str">
        <v>West</v>
      </c>
      <c r="AA36" t="str">
        <v>Standard</v>
      </c>
      <c r="AB36">
        <v>44952</v>
      </c>
      <c r="AC36">
        <v>899.97</v>
      </c>
    </row>
    <row r="37" spans="1:29">
      <c r="A37" s="62" t="s">
        <v>138</v>
      </c>
      <c r="B37" s="63">
        <v>45435</v>
      </c>
      <c r="C37" s="64" t="s">
        <v>131</v>
      </c>
      <c r="D37" s="64" t="s">
        <v>132</v>
      </c>
      <c r="E37" s="64" t="s">
        <v>116</v>
      </c>
      <c r="F37" s="64" t="s">
        <v>117</v>
      </c>
      <c r="G37" s="64" t="s">
        <v>35</v>
      </c>
      <c r="H37" s="65">
        <v>3</v>
      </c>
      <c r="I37" s="65">
        <v>79.989999999999995</v>
      </c>
      <c r="J37" s="64" t="s">
        <v>22</v>
      </c>
      <c r="K37" s="64" t="s">
        <v>37</v>
      </c>
      <c r="L37" s="64" t="s">
        <v>24</v>
      </c>
      <c r="M37" s="63">
        <v>45046</v>
      </c>
      <c r="N37" s="68">
        <v>239.97</v>
      </c>
      <c r="O37" s="71"/>
      <c r="P37" t="str">
        <v>TRX0010</v>
      </c>
      <c r="Q37" s="59">
        <v>45688</v>
      </c>
      <c r="R37" t="str">
        <v>CUST026</v>
      </c>
      <c r="S37" t="str">
        <v>Karen Hill</v>
      </c>
      <c r="T37" t="str">
        <v>P002</v>
      </c>
      <c r="U37" t="str">
        <v>Smartphone</v>
      </c>
      <c r="V37" t="str">
        <v>Electronics</v>
      </c>
      <c r="W37">
        <v>4</v>
      </c>
      <c r="X37">
        <v>699.99</v>
      </c>
      <c r="Y37" t="str">
        <v>Debit Card</v>
      </c>
      <c r="Z37" t="str">
        <v>West</v>
      </c>
      <c r="AA37" t="str">
        <v>Premium</v>
      </c>
      <c r="AB37">
        <v>44692</v>
      </c>
      <c r="AC37">
        <v>2799.96</v>
      </c>
    </row>
    <row r="38" spans="1:29">
      <c r="A38" s="62" t="s">
        <v>139</v>
      </c>
      <c r="B38" s="63">
        <v>45438</v>
      </c>
      <c r="C38" s="64" t="s">
        <v>140</v>
      </c>
      <c r="D38" s="64" t="s">
        <v>141</v>
      </c>
      <c r="E38" s="64" t="s">
        <v>128</v>
      </c>
      <c r="F38" s="64" t="s">
        <v>129</v>
      </c>
      <c r="G38" s="64" t="s">
        <v>48</v>
      </c>
      <c r="H38" s="65">
        <v>3</v>
      </c>
      <c r="I38" s="65">
        <v>199.99</v>
      </c>
      <c r="J38" s="64" t="s">
        <v>28</v>
      </c>
      <c r="K38" s="64" t="s">
        <v>42</v>
      </c>
      <c r="L38" s="64" t="s">
        <v>29</v>
      </c>
      <c r="M38" s="63">
        <v>45292</v>
      </c>
      <c r="N38" s="68">
        <v>599.97</v>
      </c>
      <c r="O38" s="71"/>
      <c r="P38" t="str">
        <v>TRX0221</v>
      </c>
      <c r="Q38" s="59">
        <v>45708</v>
      </c>
      <c r="R38" t="str">
        <v>CUST033</v>
      </c>
      <c r="S38" t="str">
        <v>Frank Torres</v>
      </c>
      <c r="T38" t="str">
        <v>P006</v>
      </c>
      <c r="U38" t="str">
        <v>Office Chair</v>
      </c>
      <c r="V38" t="str">
        <v>Furniture</v>
      </c>
      <c r="W38">
        <v>3</v>
      </c>
      <c r="X38">
        <v>199.99</v>
      </c>
      <c r="Y38" t="str">
        <v>Cash</v>
      </c>
      <c r="Z38" t="str">
        <v>West</v>
      </c>
      <c r="AA38" t="str">
        <v>Premium</v>
      </c>
      <c r="AB38">
        <v>44823</v>
      </c>
      <c r="AC38">
        <v>599.97</v>
      </c>
    </row>
    <row r="39" spans="1:29">
      <c r="A39" s="62" t="s">
        <v>142</v>
      </c>
      <c r="B39" s="63">
        <v>45440</v>
      </c>
      <c r="C39" s="64" t="s">
        <v>143</v>
      </c>
      <c r="D39" s="64" t="s">
        <v>144</v>
      </c>
      <c r="E39" s="64" t="s">
        <v>82</v>
      </c>
      <c r="F39" s="64" t="s">
        <v>83</v>
      </c>
      <c r="G39" s="64" t="s">
        <v>21</v>
      </c>
      <c r="H39" s="65">
        <v>5</v>
      </c>
      <c r="I39" s="65">
        <v>699.99</v>
      </c>
      <c r="J39" s="64" t="s">
        <v>36</v>
      </c>
      <c r="K39" s="64" t="s">
        <v>52</v>
      </c>
      <c r="L39" s="64" t="s">
        <v>38</v>
      </c>
      <c r="M39" s="63">
        <v>44407</v>
      </c>
      <c r="N39" s="68">
        <v>3499.95</v>
      </c>
      <c r="O39" s="71"/>
      <c r="P39" t="str">
        <v>TRX0083</v>
      </c>
      <c r="Q39" s="59">
        <v>45710</v>
      </c>
      <c r="R39" t="str">
        <v>CUST017</v>
      </c>
      <c r="S39" t="str">
        <v>Charles Allen</v>
      </c>
      <c r="T39" t="str">
        <v>P007</v>
      </c>
      <c r="U39" t="str">
        <v>Desk</v>
      </c>
      <c r="V39" t="str">
        <v>Furniture</v>
      </c>
      <c r="W39">
        <v>5</v>
      </c>
      <c r="X39">
        <v>299.99</v>
      </c>
      <c r="Y39" t="str">
        <v>Cash</v>
      </c>
      <c r="Z39" t="str">
        <v>West</v>
      </c>
      <c r="AA39" t="str">
        <v>Standard</v>
      </c>
      <c r="AB39">
        <v>45142</v>
      </c>
      <c r="AC39">
        <v>1499.95</v>
      </c>
    </row>
    <row r="40" spans="1:29">
      <c r="A40" s="62" t="s">
        <v>145</v>
      </c>
      <c r="B40" s="63">
        <v>45441</v>
      </c>
      <c r="C40" s="64" t="s">
        <v>146</v>
      </c>
      <c r="D40" s="64" t="s">
        <v>147</v>
      </c>
      <c r="E40" s="64" t="s">
        <v>119</v>
      </c>
      <c r="F40" s="64" t="s">
        <v>120</v>
      </c>
      <c r="G40" s="64" t="s">
        <v>21</v>
      </c>
      <c r="H40" s="65">
        <v>3</v>
      </c>
      <c r="I40" s="65">
        <v>89.99</v>
      </c>
      <c r="J40" s="64" t="s">
        <v>36</v>
      </c>
      <c r="K40" s="64" t="s">
        <v>23</v>
      </c>
      <c r="L40" s="64" t="s">
        <v>29</v>
      </c>
      <c r="M40" s="63">
        <v>45120</v>
      </c>
      <c r="N40" s="68">
        <v>269.97000000000003</v>
      </c>
      <c r="O40" s="71"/>
      <c r="P40" t="str">
        <v>TRX0151</v>
      </c>
      <c r="Q40" s="59">
        <v>45710</v>
      </c>
      <c r="R40" t="str">
        <v>CUST040</v>
      </c>
      <c r="S40" t="str">
        <v>Sharon Butler</v>
      </c>
      <c r="T40" t="str">
        <v>P002</v>
      </c>
      <c r="U40" t="str">
        <v>Smartphone</v>
      </c>
      <c r="V40" t="str">
        <v>Electronics</v>
      </c>
      <c r="W40">
        <v>1</v>
      </c>
      <c r="X40">
        <v>699.99</v>
      </c>
      <c r="Y40" t="str">
        <v>PayPal</v>
      </c>
      <c r="Z40" t="str">
        <v>West</v>
      </c>
      <c r="AA40" t="str">
        <v>Basic</v>
      </c>
      <c r="AB40">
        <v>44934</v>
      </c>
      <c r="AC40">
        <v>699.99</v>
      </c>
    </row>
    <row r="41" spans="1:29">
      <c r="A41" s="62" t="s">
        <v>148</v>
      </c>
      <c r="B41" s="63">
        <v>45443</v>
      </c>
      <c r="C41" s="64" t="s">
        <v>149</v>
      </c>
      <c r="D41" s="64" t="s">
        <v>150</v>
      </c>
      <c r="E41" s="64" t="s">
        <v>116</v>
      </c>
      <c r="F41" s="64" t="s">
        <v>117</v>
      </c>
      <c r="G41" s="64" t="s">
        <v>35</v>
      </c>
      <c r="H41" s="65">
        <v>1</v>
      </c>
      <c r="I41" s="65">
        <v>79.989999999999995</v>
      </c>
      <c r="J41" s="64" t="s">
        <v>22</v>
      </c>
      <c r="K41" s="64" t="s">
        <v>42</v>
      </c>
      <c r="L41" s="64" t="s">
        <v>38</v>
      </c>
      <c r="M41" s="63">
        <v>44917</v>
      </c>
      <c r="N41" s="68">
        <v>79.989999999999995</v>
      </c>
      <c r="O41" s="71"/>
      <c r="P41" t="str">
        <v>TRX0062</v>
      </c>
      <c r="Q41" s="59">
        <v>45711</v>
      </c>
      <c r="R41" t="str">
        <v>CUST016</v>
      </c>
      <c r="S41" t="str">
        <v>Elizabeth Hall</v>
      </c>
      <c r="T41" t="str">
        <v>P010</v>
      </c>
      <c r="U41" t="str">
        <v>Keyboard</v>
      </c>
      <c r="V41" t="str">
        <v>Electronics</v>
      </c>
      <c r="W41">
        <v>5</v>
      </c>
      <c r="X41">
        <v>89.99</v>
      </c>
      <c r="Y41" t="str">
        <v>PayPal</v>
      </c>
      <c r="Z41" t="str">
        <v>West</v>
      </c>
      <c r="AA41" t="str">
        <v>Premium</v>
      </c>
      <c r="AB41">
        <v>45140</v>
      </c>
      <c r="AC41">
        <v>449.95</v>
      </c>
    </row>
    <row r="42" spans="1:29">
      <c r="A42" s="62" t="s">
        <v>151</v>
      </c>
      <c r="B42" s="63">
        <v>45444</v>
      </c>
      <c r="C42" s="64" t="s">
        <v>152</v>
      </c>
      <c r="D42" s="64" t="s">
        <v>153</v>
      </c>
      <c r="E42" s="64" t="s">
        <v>33</v>
      </c>
      <c r="F42" s="64" t="s">
        <v>34</v>
      </c>
      <c r="G42" s="64" t="s">
        <v>35</v>
      </c>
      <c r="H42" s="65">
        <v>2</v>
      </c>
      <c r="I42" s="65">
        <v>59.99</v>
      </c>
      <c r="J42" s="64" t="s">
        <v>22</v>
      </c>
      <c r="K42" s="64" t="s">
        <v>52</v>
      </c>
      <c r="L42" s="64" t="s">
        <v>24</v>
      </c>
      <c r="M42" s="63">
        <v>45390</v>
      </c>
      <c r="N42" s="68">
        <v>119.98</v>
      </c>
      <c r="O42" s="71"/>
      <c r="P42" t="str">
        <v>TRX0229</v>
      </c>
      <c r="Q42" s="59">
        <v>45715</v>
      </c>
      <c r="R42" t="str">
        <v>CUST015</v>
      </c>
      <c r="S42" t="str">
        <v>Richard Lee</v>
      </c>
      <c r="T42" t="str">
        <v>P005</v>
      </c>
      <c r="U42" t="str">
        <v>Blender</v>
      </c>
      <c r="V42" t="str">
        <v>Appliances</v>
      </c>
      <c r="W42">
        <v>4</v>
      </c>
      <c r="X42">
        <v>59.99</v>
      </c>
      <c r="Y42" t="str">
        <v>Cash</v>
      </c>
      <c r="Z42" t="str">
        <v>West</v>
      </c>
      <c r="AA42" t="str">
        <v>Standard</v>
      </c>
      <c r="AB42">
        <v>45070</v>
      </c>
      <c r="AC42">
        <v>239.96</v>
      </c>
    </row>
    <row r="43" spans="1:29">
      <c r="A43" s="62" t="s">
        <v>154</v>
      </c>
      <c r="B43" s="63">
        <v>45444</v>
      </c>
      <c r="C43" s="64" t="s">
        <v>57</v>
      </c>
      <c r="D43" s="64" t="s">
        <v>58</v>
      </c>
      <c r="E43" s="64" t="s">
        <v>119</v>
      </c>
      <c r="F43" s="64" t="s">
        <v>120</v>
      </c>
      <c r="G43" s="64" t="s">
        <v>21</v>
      </c>
      <c r="H43" s="65">
        <v>1</v>
      </c>
      <c r="I43" s="65">
        <v>89.99</v>
      </c>
      <c r="J43" s="64" t="s">
        <v>22</v>
      </c>
      <c r="K43" s="64" t="s">
        <v>42</v>
      </c>
      <c r="L43" s="64" t="s">
        <v>24</v>
      </c>
      <c r="M43" s="63">
        <v>45141</v>
      </c>
      <c r="N43" s="68">
        <v>89.99</v>
      </c>
      <c r="O43" s="71"/>
      <c r="P43" t="str">
        <v>TRX0053</v>
      </c>
      <c r="Q43" s="59">
        <v>45721</v>
      </c>
      <c r="R43" t="str">
        <v>CUST043</v>
      </c>
      <c r="S43" t="str">
        <v>Dennis Gray</v>
      </c>
      <c r="T43" t="str">
        <v>P005</v>
      </c>
      <c r="U43" t="str">
        <v>Blender</v>
      </c>
      <c r="V43" t="str">
        <v>Appliances</v>
      </c>
      <c r="W43">
        <v>5</v>
      </c>
      <c r="X43">
        <v>59.99</v>
      </c>
      <c r="Y43" t="str">
        <v>Cash</v>
      </c>
      <c r="Z43" t="str">
        <v>West</v>
      </c>
      <c r="AA43" t="str">
        <v>Premium</v>
      </c>
      <c r="AB43">
        <v>45291</v>
      </c>
      <c r="AC43">
        <v>299.95</v>
      </c>
    </row>
    <row r="44" spans="1:29">
      <c r="A44" s="62" t="s">
        <v>155</v>
      </c>
      <c r="B44" s="63">
        <v>45446</v>
      </c>
      <c r="C44" s="64" t="s">
        <v>156</v>
      </c>
      <c r="D44" s="64" t="s">
        <v>157</v>
      </c>
      <c r="E44" s="64" t="s">
        <v>119</v>
      </c>
      <c r="F44" s="64" t="s">
        <v>120</v>
      </c>
      <c r="G44" s="64" t="s">
        <v>21</v>
      </c>
      <c r="H44" s="65">
        <v>5</v>
      </c>
      <c r="I44" s="65">
        <v>89.99</v>
      </c>
      <c r="J44" s="64" t="s">
        <v>28</v>
      </c>
      <c r="K44" s="64" t="s">
        <v>65</v>
      </c>
      <c r="L44" s="64" t="s">
        <v>38</v>
      </c>
      <c r="M44" s="63">
        <v>44587</v>
      </c>
      <c r="N44" s="68">
        <v>449.95</v>
      </c>
      <c r="O44" s="71"/>
      <c r="P44" t="str">
        <v>TRX0233</v>
      </c>
      <c r="Q44" s="59">
        <v>45723</v>
      </c>
      <c r="R44" t="str">
        <v>CUST023</v>
      </c>
      <c r="S44" t="str">
        <v>Paul Baker</v>
      </c>
      <c r="T44" t="str">
        <v>P010</v>
      </c>
      <c r="U44" t="str">
        <v>Keyboard</v>
      </c>
      <c r="V44" t="str">
        <v>Electronics</v>
      </c>
      <c r="W44">
        <v>2</v>
      </c>
      <c r="X44">
        <v>89.99</v>
      </c>
      <c r="Y44" t="str">
        <v>Credit Card</v>
      </c>
      <c r="Z44" t="str">
        <v>West</v>
      </c>
      <c r="AA44" t="str">
        <v>Premium</v>
      </c>
      <c r="AB44">
        <v>45295</v>
      </c>
      <c r="AC44">
        <v>179.98</v>
      </c>
    </row>
    <row r="45" spans="1:29">
      <c r="A45" s="62" t="s">
        <v>158</v>
      </c>
      <c r="B45" s="63">
        <v>45449</v>
      </c>
      <c r="C45" s="64" t="s">
        <v>26</v>
      </c>
      <c r="D45" s="64" t="s">
        <v>27</v>
      </c>
      <c r="E45" s="64" t="s">
        <v>19</v>
      </c>
      <c r="F45" s="64" t="s">
        <v>20</v>
      </c>
      <c r="G45" s="64" t="s">
        <v>21</v>
      </c>
      <c r="H45" s="65">
        <v>5</v>
      </c>
      <c r="I45" s="65">
        <v>249.99</v>
      </c>
      <c r="J45" s="64" t="s">
        <v>28</v>
      </c>
      <c r="K45" s="64" t="s">
        <v>65</v>
      </c>
      <c r="L45" s="64" t="s">
        <v>38</v>
      </c>
      <c r="M45" s="63">
        <v>44707</v>
      </c>
      <c r="N45" s="68">
        <v>1249.95</v>
      </c>
      <c r="O45" s="71"/>
      <c r="P45" t="str">
        <v>TRX0014</v>
      </c>
      <c r="Q45" s="59">
        <v>45734</v>
      </c>
      <c r="R45" t="str">
        <v>CUST033</v>
      </c>
      <c r="S45" t="str">
        <v>Frank Torres</v>
      </c>
      <c r="T45" t="str">
        <v>P005</v>
      </c>
      <c r="U45" t="str">
        <v>Blender</v>
      </c>
      <c r="V45" t="str">
        <v>Appliances</v>
      </c>
      <c r="W45">
        <v>2</v>
      </c>
      <c r="X45">
        <v>59.99</v>
      </c>
      <c r="Y45" t="str">
        <v>Credit Card</v>
      </c>
      <c r="Z45" t="str">
        <v>West</v>
      </c>
      <c r="AA45" t="str">
        <v>Basic</v>
      </c>
      <c r="AB45">
        <v>45193</v>
      </c>
      <c r="AC45">
        <v>119.98</v>
      </c>
    </row>
    <row r="46" spans="1:29">
      <c r="A46" s="62" t="s">
        <v>159</v>
      </c>
      <c r="B46" s="63">
        <v>45449</v>
      </c>
      <c r="C46" s="64" t="s">
        <v>160</v>
      </c>
      <c r="D46" s="64" t="s">
        <v>161</v>
      </c>
      <c r="E46" s="64" t="s">
        <v>119</v>
      </c>
      <c r="F46" s="64" t="s">
        <v>120</v>
      </c>
      <c r="G46" s="64" t="s">
        <v>21</v>
      </c>
      <c r="H46" s="65">
        <v>1</v>
      </c>
      <c r="I46" s="65">
        <v>89.99</v>
      </c>
      <c r="J46" s="64" t="s">
        <v>28</v>
      </c>
      <c r="K46" s="64" t="s">
        <v>37</v>
      </c>
      <c r="L46" s="64" t="s">
        <v>38</v>
      </c>
      <c r="M46" s="63">
        <v>44582</v>
      </c>
      <c r="N46" s="68">
        <v>89.99</v>
      </c>
      <c r="O46" s="71"/>
      <c r="P46" t="str">
        <v>TRX0003</v>
      </c>
      <c r="Q46" s="59">
        <v>45737</v>
      </c>
      <c r="R46" t="str">
        <v>CUST002</v>
      </c>
      <c r="S46" t="str">
        <v>Emma Wilson</v>
      </c>
      <c r="T46" t="str">
        <v>P008</v>
      </c>
      <c r="U46" t="str">
        <v>Bookshelf</v>
      </c>
      <c r="V46" t="str">
        <v>Furniture</v>
      </c>
      <c r="W46">
        <v>2</v>
      </c>
      <c r="X46">
        <v>149.99</v>
      </c>
      <c r="Y46" t="str">
        <v>Cash</v>
      </c>
      <c r="Z46" t="str">
        <v>West</v>
      </c>
      <c r="AA46" t="str">
        <v>Premium</v>
      </c>
      <c r="AB46">
        <v>45233</v>
      </c>
      <c r="AC46">
        <v>299.98</v>
      </c>
    </row>
    <row r="47" spans="1:29">
      <c r="A47" s="62" t="s">
        <v>162</v>
      </c>
      <c r="B47" s="63">
        <v>45450</v>
      </c>
      <c r="C47" s="64" t="s">
        <v>44</v>
      </c>
      <c r="D47" s="64" t="s">
        <v>45</v>
      </c>
      <c r="E47" s="64" t="s">
        <v>46</v>
      </c>
      <c r="F47" s="64" t="s">
        <v>47</v>
      </c>
      <c r="G47" s="64" t="s">
        <v>48</v>
      </c>
      <c r="H47" s="65">
        <v>2</v>
      </c>
      <c r="I47" s="65">
        <v>149.99</v>
      </c>
      <c r="J47" s="64" t="s">
        <v>22</v>
      </c>
      <c r="K47" s="64" t="s">
        <v>65</v>
      </c>
      <c r="L47" s="64" t="s">
        <v>29</v>
      </c>
      <c r="M47" s="63">
        <v>44645</v>
      </c>
      <c r="N47" s="68">
        <v>299.98</v>
      </c>
      <c r="O47" s="71"/>
      <c r="P47" t="str">
        <v>TRX0019</v>
      </c>
      <c r="Q47" s="59">
        <v>45739</v>
      </c>
      <c r="R47" t="str">
        <v>CUST023</v>
      </c>
      <c r="S47" t="str">
        <v>Paul Baker</v>
      </c>
      <c r="T47" t="str">
        <v>P007</v>
      </c>
      <c r="U47" t="str">
        <v>Desk</v>
      </c>
      <c r="V47" t="str">
        <v>Furniture</v>
      </c>
      <c r="W47">
        <v>3</v>
      </c>
      <c r="X47">
        <v>299.99</v>
      </c>
      <c r="Y47" t="str">
        <v>Credit Card</v>
      </c>
      <c r="Z47" t="str">
        <v>West</v>
      </c>
      <c r="AA47" t="str">
        <v>Premium</v>
      </c>
      <c r="AB47">
        <v>45234</v>
      </c>
      <c r="AC47">
        <v>899.97</v>
      </c>
    </row>
    <row r="48" spans="1:29">
      <c r="A48" s="62" t="s">
        <v>163</v>
      </c>
      <c r="B48" s="63">
        <v>45452</v>
      </c>
      <c r="C48" s="64" t="s">
        <v>164</v>
      </c>
      <c r="D48" s="64" t="s">
        <v>165</v>
      </c>
      <c r="E48" s="64" t="s">
        <v>33</v>
      </c>
      <c r="F48" s="64" t="s">
        <v>34</v>
      </c>
      <c r="G48" s="64" t="s">
        <v>35</v>
      </c>
      <c r="H48" s="65">
        <v>4</v>
      </c>
      <c r="I48" s="65">
        <v>59.99</v>
      </c>
      <c r="J48" s="64" t="s">
        <v>22</v>
      </c>
      <c r="K48" s="64" t="s">
        <v>65</v>
      </c>
      <c r="L48" s="64" t="s">
        <v>38</v>
      </c>
      <c r="M48" s="63">
        <v>44435</v>
      </c>
      <c r="N48" s="68">
        <v>239.96</v>
      </c>
      <c r="O48" s="71"/>
      <c r="P48" t="str">
        <v>TRX0050</v>
      </c>
      <c r="Q48" s="59">
        <v>45740</v>
      </c>
      <c r="R48" t="str">
        <v>CUST001</v>
      </c>
      <c r="S48" t="str">
        <v>John Smith</v>
      </c>
      <c r="T48" t="str">
        <v>P008</v>
      </c>
      <c r="U48" t="str">
        <v>Bookshelf</v>
      </c>
      <c r="V48" t="str">
        <v>Furniture</v>
      </c>
      <c r="W48">
        <v>4</v>
      </c>
      <c r="X48">
        <v>149.99</v>
      </c>
      <c r="Y48" t="str">
        <v>PayPal</v>
      </c>
      <c r="Z48" t="str">
        <v>West</v>
      </c>
      <c r="AA48" t="str">
        <v>Standard</v>
      </c>
      <c r="AB48">
        <v>44560</v>
      </c>
      <c r="AC48">
        <v>599.96</v>
      </c>
    </row>
    <row r="49" spans="1:29">
      <c r="A49" s="62" t="s">
        <v>166</v>
      </c>
      <c r="B49" s="63">
        <v>45456</v>
      </c>
      <c r="C49" s="64" t="s">
        <v>131</v>
      </c>
      <c r="D49" s="64" t="s">
        <v>132</v>
      </c>
      <c r="E49" s="64" t="s">
        <v>119</v>
      </c>
      <c r="F49" s="64" t="s">
        <v>120</v>
      </c>
      <c r="G49" s="64" t="s">
        <v>21</v>
      </c>
      <c r="H49" s="65">
        <v>5</v>
      </c>
      <c r="I49" s="65">
        <v>89.99</v>
      </c>
      <c r="J49" s="64" t="s">
        <v>22</v>
      </c>
      <c r="K49" s="64" t="s">
        <v>23</v>
      </c>
      <c r="L49" s="64" t="s">
        <v>29</v>
      </c>
      <c r="M49" s="63">
        <v>44579</v>
      </c>
      <c r="N49" s="68">
        <v>449.95</v>
      </c>
      <c r="O49" s="71"/>
      <c r="P49" t="str">
        <v>TRX0250</v>
      </c>
      <c r="Q49" s="59">
        <v>45746</v>
      </c>
      <c r="R49" t="str">
        <v>CUST026</v>
      </c>
      <c r="S49" t="str">
        <v>Karen Hill</v>
      </c>
      <c r="T49" t="str">
        <v>P010</v>
      </c>
      <c r="U49" t="str">
        <v>Keyboard</v>
      </c>
      <c r="V49" t="str">
        <v>Electronics</v>
      </c>
      <c r="W49">
        <v>2</v>
      </c>
      <c r="X49">
        <v>89.99</v>
      </c>
      <c r="Y49" t="str">
        <v>Debit Card</v>
      </c>
      <c r="Z49" t="str">
        <v>West</v>
      </c>
      <c r="AA49" t="str">
        <v>Premium</v>
      </c>
      <c r="AB49">
        <v>44522</v>
      </c>
      <c r="AC49">
        <v>179.98</v>
      </c>
    </row>
    <row r="50" spans="1:29">
      <c r="A50" s="62" t="s">
        <v>167</v>
      </c>
      <c r="B50" s="63">
        <v>45459</v>
      </c>
      <c r="C50" s="64" t="s">
        <v>101</v>
      </c>
      <c r="D50" s="64" t="s">
        <v>102</v>
      </c>
      <c r="E50" s="64" t="s">
        <v>119</v>
      </c>
      <c r="F50" s="64" t="s">
        <v>120</v>
      </c>
      <c r="G50" s="64" t="s">
        <v>21</v>
      </c>
      <c r="H50" s="65">
        <v>2</v>
      </c>
      <c r="I50" s="65">
        <v>89.99</v>
      </c>
      <c r="J50" s="64" t="s">
        <v>28</v>
      </c>
      <c r="K50" s="64" t="s">
        <v>37</v>
      </c>
      <c r="L50" s="64" t="s">
        <v>29</v>
      </c>
      <c r="M50" s="63">
        <v>44471</v>
      </c>
      <c r="N50" s="68">
        <v>179.98</v>
      </c>
      <c r="O50" s="71"/>
      <c r="Q50" s="59"/>
      <c r="R50"/>
    </row>
    <row r="51" spans="1:29">
      <c r="A51" s="62" t="s">
        <v>168</v>
      </c>
      <c r="B51" s="63">
        <v>45459</v>
      </c>
      <c r="C51" s="64" t="s">
        <v>17</v>
      </c>
      <c r="D51" s="64" t="s">
        <v>18</v>
      </c>
      <c r="E51" s="64" t="s">
        <v>63</v>
      </c>
      <c r="F51" s="64" t="s">
        <v>64</v>
      </c>
      <c r="G51" s="64" t="s">
        <v>21</v>
      </c>
      <c r="H51" s="65">
        <v>5</v>
      </c>
      <c r="I51" s="65">
        <v>899.99</v>
      </c>
      <c r="J51" s="64" t="s">
        <v>28</v>
      </c>
      <c r="K51" s="64" t="s">
        <v>37</v>
      </c>
      <c r="L51" s="64" t="s">
        <v>38</v>
      </c>
      <c r="M51" s="63">
        <v>44974</v>
      </c>
      <c r="N51" s="68">
        <v>4499.95</v>
      </c>
      <c r="O51" s="71"/>
      <c r="Q51" s="59"/>
      <c r="R51"/>
    </row>
    <row r="52" spans="1:29">
      <c r="A52" s="62" t="s">
        <v>169</v>
      </c>
      <c r="B52" s="63">
        <v>45459</v>
      </c>
      <c r="C52" s="64" t="s">
        <v>125</v>
      </c>
      <c r="D52" s="64" t="s">
        <v>126</v>
      </c>
      <c r="E52" s="64" t="s">
        <v>63</v>
      </c>
      <c r="F52" s="64" t="s">
        <v>64</v>
      </c>
      <c r="G52" s="64" t="s">
        <v>21</v>
      </c>
      <c r="H52" s="65">
        <v>5</v>
      </c>
      <c r="I52" s="65">
        <v>899.99</v>
      </c>
      <c r="J52" s="64" t="s">
        <v>36</v>
      </c>
      <c r="K52" s="64" t="s">
        <v>65</v>
      </c>
      <c r="L52" s="64" t="s">
        <v>29</v>
      </c>
      <c r="M52" s="63">
        <v>45278</v>
      </c>
      <c r="N52" s="68">
        <v>4499.95</v>
      </c>
      <c r="O52" s="71"/>
      <c r="Q52" s="59"/>
      <c r="R52"/>
    </row>
    <row r="53" spans="1:29">
      <c r="A53" s="62" t="s">
        <v>170</v>
      </c>
      <c r="B53" s="63">
        <v>45460</v>
      </c>
      <c r="C53" s="64" t="s">
        <v>160</v>
      </c>
      <c r="D53" s="64" t="s">
        <v>161</v>
      </c>
      <c r="E53" s="64" t="s">
        <v>33</v>
      </c>
      <c r="F53" s="64" t="s">
        <v>34</v>
      </c>
      <c r="G53" s="64" t="s">
        <v>35</v>
      </c>
      <c r="H53" s="65">
        <v>1</v>
      </c>
      <c r="I53" s="65">
        <v>59.99</v>
      </c>
      <c r="J53" s="64" t="s">
        <v>59</v>
      </c>
      <c r="K53" s="64" t="s">
        <v>52</v>
      </c>
      <c r="L53" s="64" t="s">
        <v>29</v>
      </c>
      <c r="M53" s="63">
        <v>45190</v>
      </c>
      <c r="N53" s="68">
        <v>59.99</v>
      </c>
      <c r="O53" s="71"/>
      <c r="Q53" s="59"/>
      <c r="R53"/>
    </row>
    <row r="54" spans="1:29">
      <c r="A54" s="62" t="s">
        <v>171</v>
      </c>
      <c r="B54" s="63">
        <v>45460</v>
      </c>
      <c r="C54" s="64" t="s">
        <v>143</v>
      </c>
      <c r="D54" s="64" t="s">
        <v>144</v>
      </c>
      <c r="E54" s="64" t="s">
        <v>107</v>
      </c>
      <c r="F54" s="64" t="s">
        <v>108</v>
      </c>
      <c r="G54" s="64" t="s">
        <v>48</v>
      </c>
      <c r="H54" s="65">
        <v>2</v>
      </c>
      <c r="I54" s="65">
        <v>299.99</v>
      </c>
      <c r="J54" s="64" t="s">
        <v>59</v>
      </c>
      <c r="K54" s="64" t="s">
        <v>65</v>
      </c>
      <c r="L54" s="64" t="s">
        <v>38</v>
      </c>
      <c r="M54" s="63">
        <v>45253</v>
      </c>
      <c r="N54" s="68">
        <v>599.98</v>
      </c>
      <c r="O54" s="71"/>
      <c r="Q54" s="59"/>
      <c r="R54"/>
    </row>
    <row r="55" spans="1:29">
      <c r="A55" s="62" t="s">
        <v>172</v>
      </c>
      <c r="B55" s="63">
        <v>45468</v>
      </c>
      <c r="C55" s="64" t="s">
        <v>173</v>
      </c>
      <c r="D55" s="64" t="s">
        <v>174</v>
      </c>
      <c r="E55" s="64" t="s">
        <v>119</v>
      </c>
      <c r="F55" s="64" t="s">
        <v>120</v>
      </c>
      <c r="G55" s="64" t="s">
        <v>21</v>
      </c>
      <c r="H55" s="65">
        <v>4</v>
      </c>
      <c r="I55" s="65">
        <v>89.99</v>
      </c>
      <c r="J55" s="64" t="s">
        <v>59</v>
      </c>
      <c r="K55" s="64" t="s">
        <v>37</v>
      </c>
      <c r="L55" s="64" t="s">
        <v>24</v>
      </c>
      <c r="M55" s="63">
        <v>45281</v>
      </c>
      <c r="N55" s="68">
        <v>359.96</v>
      </c>
      <c r="O55" s="71"/>
      <c r="Q55" s="59"/>
      <c r="R55"/>
    </row>
    <row r="56" spans="1:29">
      <c r="A56" s="62" t="s">
        <v>175</v>
      </c>
      <c r="B56" s="63">
        <v>45469</v>
      </c>
      <c r="C56" s="64" t="s">
        <v>31</v>
      </c>
      <c r="D56" s="64" t="s">
        <v>32</v>
      </c>
      <c r="E56" s="64" t="s">
        <v>116</v>
      </c>
      <c r="F56" s="64" t="s">
        <v>117</v>
      </c>
      <c r="G56" s="64" t="s">
        <v>35</v>
      </c>
      <c r="H56" s="65">
        <v>1</v>
      </c>
      <c r="I56" s="65">
        <v>79.989999999999995</v>
      </c>
      <c r="J56" s="64" t="s">
        <v>36</v>
      </c>
      <c r="K56" s="64" t="s">
        <v>23</v>
      </c>
      <c r="L56" s="64" t="s">
        <v>29</v>
      </c>
      <c r="M56" s="63">
        <v>45352</v>
      </c>
      <c r="N56" s="68">
        <v>79.989999999999995</v>
      </c>
      <c r="O56" s="71"/>
      <c r="Q56" s="59"/>
      <c r="R56"/>
    </row>
    <row r="57" spans="1:29">
      <c r="A57" s="62" t="s">
        <v>176</v>
      </c>
      <c r="B57" s="63">
        <v>45469</v>
      </c>
      <c r="C57" s="64" t="s">
        <v>61</v>
      </c>
      <c r="D57" s="64" t="s">
        <v>62</v>
      </c>
      <c r="E57" s="64" t="s">
        <v>119</v>
      </c>
      <c r="F57" s="64" t="s">
        <v>120</v>
      </c>
      <c r="G57" s="64" t="s">
        <v>21</v>
      </c>
      <c r="H57" s="65">
        <v>2</v>
      </c>
      <c r="I57" s="65">
        <v>89.99</v>
      </c>
      <c r="J57" s="64" t="s">
        <v>22</v>
      </c>
      <c r="K57" s="64" t="s">
        <v>52</v>
      </c>
      <c r="L57" s="64" t="s">
        <v>24</v>
      </c>
      <c r="M57" s="63">
        <v>44438</v>
      </c>
      <c r="N57" s="68">
        <v>179.98</v>
      </c>
      <c r="O57" s="71"/>
      <c r="Q57" s="59"/>
      <c r="R57"/>
    </row>
    <row r="58" spans="1:29">
      <c r="A58" s="62" t="s">
        <v>177</v>
      </c>
      <c r="B58" s="63">
        <v>45471</v>
      </c>
      <c r="C58" s="64" t="s">
        <v>40</v>
      </c>
      <c r="D58" s="64" t="s">
        <v>41</v>
      </c>
      <c r="E58" s="64" t="s">
        <v>82</v>
      </c>
      <c r="F58" s="64" t="s">
        <v>83</v>
      </c>
      <c r="G58" s="64" t="s">
        <v>21</v>
      </c>
      <c r="H58" s="65">
        <v>3</v>
      </c>
      <c r="I58" s="65">
        <v>699.99</v>
      </c>
      <c r="J58" s="64" t="s">
        <v>28</v>
      </c>
      <c r="K58" s="64" t="s">
        <v>65</v>
      </c>
      <c r="L58" s="64" t="s">
        <v>29</v>
      </c>
      <c r="M58" s="63">
        <v>45102</v>
      </c>
      <c r="N58" s="68">
        <v>2099.9699999999998</v>
      </c>
      <c r="O58" s="71"/>
      <c r="Q58" s="59"/>
      <c r="R58"/>
    </row>
    <row r="59" spans="1:29">
      <c r="A59" s="62" t="s">
        <v>178</v>
      </c>
      <c r="B59" s="63">
        <v>45471</v>
      </c>
      <c r="C59" s="64" t="s">
        <v>101</v>
      </c>
      <c r="D59" s="64" t="s">
        <v>102</v>
      </c>
      <c r="E59" s="64" t="s">
        <v>63</v>
      </c>
      <c r="F59" s="64" t="s">
        <v>64</v>
      </c>
      <c r="G59" s="64" t="s">
        <v>21</v>
      </c>
      <c r="H59" s="65">
        <v>4</v>
      </c>
      <c r="I59" s="65">
        <v>899.99</v>
      </c>
      <c r="J59" s="64" t="s">
        <v>28</v>
      </c>
      <c r="K59" s="64" t="s">
        <v>65</v>
      </c>
      <c r="L59" s="64" t="s">
        <v>29</v>
      </c>
      <c r="M59" s="63">
        <v>44993</v>
      </c>
      <c r="N59" s="68">
        <v>3599.96</v>
      </c>
      <c r="O59" s="71"/>
      <c r="Q59" s="59"/>
      <c r="R59"/>
    </row>
    <row r="60" spans="1:29">
      <c r="A60" s="62" t="s">
        <v>179</v>
      </c>
      <c r="B60" s="63">
        <v>45472</v>
      </c>
      <c r="C60" s="64" t="s">
        <v>122</v>
      </c>
      <c r="D60" s="64" t="s">
        <v>123</v>
      </c>
      <c r="E60" s="64" t="s">
        <v>46</v>
      </c>
      <c r="F60" s="64" t="s">
        <v>47</v>
      </c>
      <c r="G60" s="64" t="s">
        <v>48</v>
      </c>
      <c r="H60" s="65">
        <v>1</v>
      </c>
      <c r="I60" s="65">
        <v>149.99</v>
      </c>
      <c r="J60" s="64" t="s">
        <v>36</v>
      </c>
      <c r="K60" s="64" t="s">
        <v>65</v>
      </c>
      <c r="L60" s="64" t="s">
        <v>24</v>
      </c>
      <c r="M60" s="63">
        <v>44851</v>
      </c>
      <c r="N60" s="68">
        <v>149.99</v>
      </c>
      <c r="O60" s="71"/>
      <c r="Q60" s="59"/>
      <c r="R60"/>
    </row>
    <row r="61" spans="1:29">
      <c r="A61" s="62" t="s">
        <v>180</v>
      </c>
      <c r="B61" s="63">
        <v>45474</v>
      </c>
      <c r="C61" s="64" t="s">
        <v>134</v>
      </c>
      <c r="D61" s="64" t="s">
        <v>135</v>
      </c>
      <c r="E61" s="64" t="s">
        <v>119</v>
      </c>
      <c r="F61" s="64" t="s">
        <v>120</v>
      </c>
      <c r="G61" s="64" t="s">
        <v>21</v>
      </c>
      <c r="H61" s="65">
        <v>2</v>
      </c>
      <c r="I61" s="65">
        <v>89.99</v>
      </c>
      <c r="J61" s="64" t="s">
        <v>36</v>
      </c>
      <c r="K61" s="64" t="s">
        <v>23</v>
      </c>
      <c r="L61" s="64" t="s">
        <v>29</v>
      </c>
      <c r="M61" s="63">
        <v>45275</v>
      </c>
      <c r="N61" s="68">
        <v>179.98</v>
      </c>
      <c r="O61" s="71"/>
      <c r="Q61" s="59"/>
      <c r="R61"/>
    </row>
    <row r="62" spans="1:29">
      <c r="A62" s="62" t="s">
        <v>181</v>
      </c>
      <c r="B62" s="63">
        <v>45475</v>
      </c>
      <c r="C62" s="64" t="s">
        <v>57</v>
      </c>
      <c r="D62" s="64" t="s">
        <v>58</v>
      </c>
      <c r="E62" s="64" t="s">
        <v>119</v>
      </c>
      <c r="F62" s="64" t="s">
        <v>120</v>
      </c>
      <c r="G62" s="64" t="s">
        <v>21</v>
      </c>
      <c r="H62" s="65">
        <v>1</v>
      </c>
      <c r="I62" s="65">
        <v>89.99</v>
      </c>
      <c r="J62" s="64" t="s">
        <v>36</v>
      </c>
      <c r="K62" s="64" t="s">
        <v>52</v>
      </c>
      <c r="L62" s="64" t="s">
        <v>38</v>
      </c>
      <c r="M62" s="63">
        <v>44802</v>
      </c>
      <c r="N62" s="68">
        <v>89.99</v>
      </c>
      <c r="O62" s="71"/>
      <c r="Q62" s="59"/>
      <c r="R62"/>
    </row>
    <row r="63" spans="1:29">
      <c r="A63" s="62" t="s">
        <v>182</v>
      </c>
      <c r="B63" s="63">
        <v>45476</v>
      </c>
      <c r="C63" s="64" t="s">
        <v>70</v>
      </c>
      <c r="D63" s="64" t="s">
        <v>71</v>
      </c>
      <c r="E63" s="64" t="s">
        <v>119</v>
      </c>
      <c r="F63" s="64" t="s">
        <v>120</v>
      </c>
      <c r="G63" s="64" t="s">
        <v>21</v>
      </c>
      <c r="H63" s="65">
        <v>1</v>
      </c>
      <c r="I63" s="65">
        <v>89.99</v>
      </c>
      <c r="J63" s="64" t="s">
        <v>22</v>
      </c>
      <c r="K63" s="64" t="s">
        <v>37</v>
      </c>
      <c r="L63" s="64" t="s">
        <v>38</v>
      </c>
      <c r="M63" s="63">
        <v>44611</v>
      </c>
      <c r="N63" s="68">
        <v>89.99</v>
      </c>
      <c r="O63" s="71"/>
      <c r="Q63" s="59"/>
      <c r="R63"/>
    </row>
    <row r="64" spans="1:29">
      <c r="A64" s="62" t="s">
        <v>183</v>
      </c>
      <c r="B64" s="63">
        <v>45476</v>
      </c>
      <c r="C64" s="64" t="s">
        <v>184</v>
      </c>
      <c r="D64" s="64" t="s">
        <v>185</v>
      </c>
      <c r="E64" s="64" t="s">
        <v>116</v>
      </c>
      <c r="F64" s="64" t="s">
        <v>117</v>
      </c>
      <c r="G64" s="64" t="s">
        <v>35</v>
      </c>
      <c r="H64" s="65">
        <v>5</v>
      </c>
      <c r="I64" s="65">
        <v>79.989999999999995</v>
      </c>
      <c r="J64" s="64" t="s">
        <v>59</v>
      </c>
      <c r="K64" s="64" t="s">
        <v>23</v>
      </c>
      <c r="L64" s="64" t="s">
        <v>24</v>
      </c>
      <c r="M64" s="63">
        <v>44981</v>
      </c>
      <c r="N64" s="68">
        <v>399.95</v>
      </c>
      <c r="O64" s="71"/>
      <c r="Q64" s="59"/>
      <c r="R64"/>
    </row>
    <row r="65" spans="1:18">
      <c r="A65" s="62" t="s">
        <v>186</v>
      </c>
      <c r="B65" s="63">
        <v>45481</v>
      </c>
      <c r="C65" s="64" t="s">
        <v>187</v>
      </c>
      <c r="D65" s="64" t="s">
        <v>188</v>
      </c>
      <c r="E65" s="64" t="s">
        <v>46</v>
      </c>
      <c r="F65" s="64" t="s">
        <v>47</v>
      </c>
      <c r="G65" s="64" t="s">
        <v>48</v>
      </c>
      <c r="H65" s="65">
        <v>1</v>
      </c>
      <c r="I65" s="65">
        <v>149.99</v>
      </c>
      <c r="J65" s="64" t="s">
        <v>36</v>
      </c>
      <c r="K65" s="64" t="s">
        <v>42</v>
      </c>
      <c r="L65" s="64" t="s">
        <v>24</v>
      </c>
      <c r="M65" s="63">
        <v>44421</v>
      </c>
      <c r="N65" s="68">
        <v>149.99</v>
      </c>
      <c r="O65" s="71"/>
      <c r="Q65" s="59"/>
      <c r="R65"/>
    </row>
    <row r="66" spans="1:18">
      <c r="A66" s="62" t="s">
        <v>189</v>
      </c>
      <c r="B66" s="63">
        <v>45481</v>
      </c>
      <c r="C66" s="64" t="s">
        <v>44</v>
      </c>
      <c r="D66" s="64" t="s">
        <v>45</v>
      </c>
      <c r="E66" s="64" t="s">
        <v>82</v>
      </c>
      <c r="F66" s="64" t="s">
        <v>83</v>
      </c>
      <c r="G66" s="64" t="s">
        <v>21</v>
      </c>
      <c r="H66" s="65">
        <v>2</v>
      </c>
      <c r="I66" s="65">
        <v>699.99</v>
      </c>
      <c r="J66" s="64" t="s">
        <v>36</v>
      </c>
      <c r="K66" s="64" t="s">
        <v>65</v>
      </c>
      <c r="L66" s="64" t="s">
        <v>29</v>
      </c>
      <c r="M66" s="63">
        <v>45389</v>
      </c>
      <c r="N66" s="68">
        <v>1399.98</v>
      </c>
      <c r="O66" s="71"/>
      <c r="Q66" s="59"/>
      <c r="R66"/>
    </row>
    <row r="67" spans="1:18">
      <c r="A67" s="62" t="s">
        <v>190</v>
      </c>
      <c r="B67" s="63">
        <v>45481</v>
      </c>
      <c r="C67" s="64" t="s">
        <v>98</v>
      </c>
      <c r="D67" s="64" t="s">
        <v>99</v>
      </c>
      <c r="E67" s="64" t="s">
        <v>119</v>
      </c>
      <c r="F67" s="64" t="s">
        <v>120</v>
      </c>
      <c r="G67" s="64" t="s">
        <v>21</v>
      </c>
      <c r="H67" s="65">
        <v>5</v>
      </c>
      <c r="I67" s="65">
        <v>89.99</v>
      </c>
      <c r="J67" s="64" t="s">
        <v>59</v>
      </c>
      <c r="K67" s="64" t="s">
        <v>42</v>
      </c>
      <c r="L67" s="64" t="s">
        <v>29</v>
      </c>
      <c r="M67" s="63">
        <v>45161</v>
      </c>
      <c r="N67" s="68">
        <v>449.95</v>
      </c>
      <c r="O67" s="71"/>
      <c r="Q67" s="59"/>
      <c r="R67"/>
    </row>
    <row r="68" spans="1:18">
      <c r="A68" s="62" t="s">
        <v>191</v>
      </c>
      <c r="B68" s="63">
        <v>45482</v>
      </c>
      <c r="C68" s="64" t="s">
        <v>173</v>
      </c>
      <c r="D68" s="64" t="s">
        <v>174</v>
      </c>
      <c r="E68" s="64" t="s">
        <v>33</v>
      </c>
      <c r="F68" s="64" t="s">
        <v>34</v>
      </c>
      <c r="G68" s="64" t="s">
        <v>35</v>
      </c>
      <c r="H68" s="65">
        <v>4</v>
      </c>
      <c r="I68" s="65">
        <v>59.99</v>
      </c>
      <c r="J68" s="64" t="s">
        <v>22</v>
      </c>
      <c r="K68" s="64" t="s">
        <v>37</v>
      </c>
      <c r="L68" s="64" t="s">
        <v>38</v>
      </c>
      <c r="M68" s="63">
        <v>44509</v>
      </c>
      <c r="N68" s="68">
        <v>239.96</v>
      </c>
      <c r="O68" s="71"/>
      <c r="Q68" s="59"/>
      <c r="R68"/>
    </row>
    <row r="69" spans="1:18">
      <c r="A69" s="62" t="s">
        <v>192</v>
      </c>
      <c r="B69" s="63">
        <v>45484</v>
      </c>
      <c r="C69" s="64" t="s">
        <v>26</v>
      </c>
      <c r="D69" s="64" t="s">
        <v>27</v>
      </c>
      <c r="E69" s="64" t="s">
        <v>54</v>
      </c>
      <c r="F69" s="64" t="s">
        <v>55</v>
      </c>
      <c r="G69" s="64" t="s">
        <v>21</v>
      </c>
      <c r="H69" s="65">
        <v>1</v>
      </c>
      <c r="I69" s="65">
        <v>149.99</v>
      </c>
      <c r="J69" s="64" t="s">
        <v>22</v>
      </c>
      <c r="K69" s="64" t="s">
        <v>23</v>
      </c>
      <c r="L69" s="64" t="s">
        <v>38</v>
      </c>
      <c r="M69" s="63">
        <v>44909</v>
      </c>
      <c r="N69" s="68">
        <v>149.99</v>
      </c>
      <c r="O69" s="71"/>
      <c r="Q69" s="59"/>
      <c r="R69"/>
    </row>
    <row r="70" spans="1:18">
      <c r="A70" s="62" t="s">
        <v>193</v>
      </c>
      <c r="B70" s="63">
        <v>45484</v>
      </c>
      <c r="C70" s="64" t="s">
        <v>194</v>
      </c>
      <c r="D70" s="64" t="s">
        <v>195</v>
      </c>
      <c r="E70" s="64" t="s">
        <v>107</v>
      </c>
      <c r="F70" s="64" t="s">
        <v>108</v>
      </c>
      <c r="G70" s="64" t="s">
        <v>48</v>
      </c>
      <c r="H70" s="65">
        <v>1</v>
      </c>
      <c r="I70" s="65">
        <v>299.99</v>
      </c>
      <c r="J70" s="64" t="s">
        <v>28</v>
      </c>
      <c r="K70" s="64" t="s">
        <v>42</v>
      </c>
      <c r="L70" s="64" t="s">
        <v>29</v>
      </c>
      <c r="M70" s="63">
        <v>44891</v>
      </c>
      <c r="N70" s="68">
        <v>299.99</v>
      </c>
      <c r="O70" s="71"/>
      <c r="Q70" s="59"/>
      <c r="R70"/>
    </row>
    <row r="71" spans="1:18">
      <c r="A71" s="62" t="s">
        <v>196</v>
      </c>
      <c r="B71" s="63">
        <v>45487</v>
      </c>
      <c r="C71" s="64" t="s">
        <v>194</v>
      </c>
      <c r="D71" s="64" t="s">
        <v>195</v>
      </c>
      <c r="E71" s="64" t="s">
        <v>128</v>
      </c>
      <c r="F71" s="64" t="s">
        <v>129</v>
      </c>
      <c r="G71" s="64" t="s">
        <v>48</v>
      </c>
      <c r="H71" s="65">
        <v>2</v>
      </c>
      <c r="I71" s="65">
        <v>199.99</v>
      </c>
      <c r="J71" s="64" t="s">
        <v>22</v>
      </c>
      <c r="K71" s="64" t="s">
        <v>42</v>
      </c>
      <c r="L71" s="64" t="s">
        <v>24</v>
      </c>
      <c r="M71" s="63">
        <v>44541</v>
      </c>
      <c r="N71" s="68">
        <v>399.98</v>
      </c>
      <c r="O71" s="71"/>
      <c r="Q71" s="59"/>
      <c r="R71"/>
    </row>
    <row r="72" spans="1:18">
      <c r="A72" s="62" t="s">
        <v>197</v>
      </c>
      <c r="B72" s="63">
        <v>45490</v>
      </c>
      <c r="C72" s="64" t="s">
        <v>198</v>
      </c>
      <c r="D72" s="64" t="s">
        <v>199</v>
      </c>
      <c r="E72" s="64" t="s">
        <v>33</v>
      </c>
      <c r="F72" s="64" t="s">
        <v>34</v>
      </c>
      <c r="G72" s="64" t="s">
        <v>35</v>
      </c>
      <c r="H72" s="65">
        <v>3</v>
      </c>
      <c r="I72" s="65">
        <v>59.99</v>
      </c>
      <c r="J72" s="64" t="s">
        <v>28</v>
      </c>
      <c r="K72" s="64" t="s">
        <v>52</v>
      </c>
      <c r="L72" s="64" t="s">
        <v>24</v>
      </c>
      <c r="M72" s="63">
        <v>45130</v>
      </c>
      <c r="N72" s="68">
        <v>179.97</v>
      </c>
      <c r="O72" s="71"/>
      <c r="Q72" s="59"/>
      <c r="R72"/>
    </row>
    <row r="73" spans="1:18">
      <c r="A73" s="62" t="s">
        <v>200</v>
      </c>
      <c r="B73" s="63">
        <v>45490</v>
      </c>
      <c r="C73" s="64" t="s">
        <v>74</v>
      </c>
      <c r="D73" s="64" t="s">
        <v>75</v>
      </c>
      <c r="E73" s="64" t="s">
        <v>46</v>
      </c>
      <c r="F73" s="64" t="s">
        <v>47</v>
      </c>
      <c r="G73" s="64" t="s">
        <v>48</v>
      </c>
      <c r="H73" s="65">
        <v>3</v>
      </c>
      <c r="I73" s="65">
        <v>149.99</v>
      </c>
      <c r="J73" s="64" t="s">
        <v>22</v>
      </c>
      <c r="K73" s="64" t="s">
        <v>23</v>
      </c>
      <c r="L73" s="64" t="s">
        <v>29</v>
      </c>
      <c r="M73" s="63">
        <v>45199</v>
      </c>
      <c r="N73" s="68">
        <v>449.97</v>
      </c>
      <c r="O73" s="71"/>
      <c r="Q73" s="59"/>
      <c r="R73"/>
    </row>
    <row r="74" spans="1:18">
      <c r="A74" s="62" t="s">
        <v>201</v>
      </c>
      <c r="B74" s="63">
        <v>45491</v>
      </c>
      <c r="C74" s="64" t="s">
        <v>67</v>
      </c>
      <c r="D74" s="64" t="s">
        <v>68</v>
      </c>
      <c r="E74" s="64" t="s">
        <v>128</v>
      </c>
      <c r="F74" s="64" t="s">
        <v>129</v>
      </c>
      <c r="G74" s="64" t="s">
        <v>48</v>
      </c>
      <c r="H74" s="65">
        <v>3</v>
      </c>
      <c r="I74" s="65">
        <v>199.99</v>
      </c>
      <c r="J74" s="64" t="s">
        <v>22</v>
      </c>
      <c r="K74" s="64" t="s">
        <v>42</v>
      </c>
      <c r="L74" s="64" t="s">
        <v>29</v>
      </c>
      <c r="M74" s="63">
        <v>45254</v>
      </c>
      <c r="N74" s="68">
        <v>599.97</v>
      </c>
      <c r="O74" s="71"/>
      <c r="Q74" s="59"/>
      <c r="R74"/>
    </row>
    <row r="75" spans="1:18">
      <c r="A75" s="62" t="s">
        <v>202</v>
      </c>
      <c r="B75" s="63">
        <v>45496</v>
      </c>
      <c r="C75" s="64" t="s">
        <v>152</v>
      </c>
      <c r="D75" s="64" t="s">
        <v>153</v>
      </c>
      <c r="E75" s="64" t="s">
        <v>63</v>
      </c>
      <c r="F75" s="64" t="s">
        <v>64</v>
      </c>
      <c r="G75" s="64" t="s">
        <v>21</v>
      </c>
      <c r="H75" s="65">
        <v>1</v>
      </c>
      <c r="I75" s="65">
        <v>899.99</v>
      </c>
      <c r="J75" s="64" t="s">
        <v>22</v>
      </c>
      <c r="K75" s="64" t="s">
        <v>23</v>
      </c>
      <c r="L75" s="64" t="s">
        <v>38</v>
      </c>
      <c r="M75" s="63">
        <v>45179</v>
      </c>
      <c r="N75" s="68">
        <v>899.99</v>
      </c>
      <c r="O75" s="71"/>
      <c r="Q75" s="59"/>
      <c r="R75"/>
    </row>
    <row r="76" spans="1:18">
      <c r="A76" s="62" t="s">
        <v>203</v>
      </c>
      <c r="B76" s="63">
        <v>45497</v>
      </c>
      <c r="C76" s="64" t="s">
        <v>26</v>
      </c>
      <c r="D76" s="64" t="s">
        <v>27</v>
      </c>
      <c r="E76" s="64" t="s">
        <v>63</v>
      </c>
      <c r="F76" s="64" t="s">
        <v>64</v>
      </c>
      <c r="G76" s="64" t="s">
        <v>21</v>
      </c>
      <c r="H76" s="65">
        <v>5</v>
      </c>
      <c r="I76" s="65">
        <v>899.99</v>
      </c>
      <c r="J76" s="64" t="s">
        <v>59</v>
      </c>
      <c r="K76" s="64" t="s">
        <v>37</v>
      </c>
      <c r="L76" s="64" t="s">
        <v>38</v>
      </c>
      <c r="M76" s="63">
        <v>44899</v>
      </c>
      <c r="N76" s="68">
        <v>4499.95</v>
      </c>
      <c r="O76" s="71"/>
      <c r="Q76" s="59"/>
      <c r="R76"/>
    </row>
    <row r="77" spans="1:18">
      <c r="A77" s="62" t="s">
        <v>204</v>
      </c>
      <c r="B77" s="63">
        <v>45498</v>
      </c>
      <c r="C77" s="64" t="s">
        <v>184</v>
      </c>
      <c r="D77" s="64" t="s">
        <v>185</v>
      </c>
      <c r="E77" s="64" t="s">
        <v>33</v>
      </c>
      <c r="F77" s="64" t="s">
        <v>34</v>
      </c>
      <c r="G77" s="64" t="s">
        <v>35</v>
      </c>
      <c r="H77" s="65">
        <v>2</v>
      </c>
      <c r="I77" s="65">
        <v>59.99</v>
      </c>
      <c r="J77" s="64" t="s">
        <v>22</v>
      </c>
      <c r="K77" s="64" t="s">
        <v>42</v>
      </c>
      <c r="L77" s="64" t="s">
        <v>38</v>
      </c>
      <c r="M77" s="63">
        <v>45152</v>
      </c>
      <c r="N77" s="68">
        <v>119.98</v>
      </c>
      <c r="O77" s="71"/>
      <c r="Q77" s="59"/>
      <c r="R77"/>
    </row>
    <row r="78" spans="1:18">
      <c r="A78" s="62" t="s">
        <v>205</v>
      </c>
      <c r="B78" s="63">
        <v>45498</v>
      </c>
      <c r="C78" s="64" t="s">
        <v>198</v>
      </c>
      <c r="D78" s="64" t="s">
        <v>199</v>
      </c>
      <c r="E78" s="64" t="s">
        <v>19</v>
      </c>
      <c r="F78" s="64" t="s">
        <v>20</v>
      </c>
      <c r="G78" s="64" t="s">
        <v>21</v>
      </c>
      <c r="H78" s="65">
        <v>4</v>
      </c>
      <c r="I78" s="65">
        <v>249.99</v>
      </c>
      <c r="J78" s="64" t="s">
        <v>59</v>
      </c>
      <c r="K78" s="64" t="s">
        <v>23</v>
      </c>
      <c r="L78" s="64" t="s">
        <v>38</v>
      </c>
      <c r="M78" s="63">
        <v>45127</v>
      </c>
      <c r="N78" s="68">
        <v>999.96</v>
      </c>
      <c r="O78" s="71"/>
      <c r="Q78" s="59"/>
      <c r="R78"/>
    </row>
    <row r="79" spans="1:18">
      <c r="A79" s="62" t="s">
        <v>206</v>
      </c>
      <c r="B79" s="63">
        <v>45500</v>
      </c>
      <c r="C79" s="64" t="s">
        <v>98</v>
      </c>
      <c r="D79" s="64" t="s">
        <v>99</v>
      </c>
      <c r="E79" s="64" t="s">
        <v>19</v>
      </c>
      <c r="F79" s="64" t="s">
        <v>20</v>
      </c>
      <c r="G79" s="64" t="s">
        <v>21</v>
      </c>
      <c r="H79" s="65">
        <v>2</v>
      </c>
      <c r="I79" s="65">
        <v>249.99</v>
      </c>
      <c r="J79" s="64" t="s">
        <v>22</v>
      </c>
      <c r="K79" s="64" t="s">
        <v>42</v>
      </c>
      <c r="L79" s="64" t="s">
        <v>29</v>
      </c>
      <c r="M79" s="63">
        <v>45164</v>
      </c>
      <c r="N79" s="68">
        <v>499.98</v>
      </c>
      <c r="O79" s="71"/>
      <c r="Q79" s="59"/>
      <c r="R79"/>
    </row>
    <row r="80" spans="1:18">
      <c r="A80" s="62" t="s">
        <v>207</v>
      </c>
      <c r="B80" s="63">
        <v>45500</v>
      </c>
      <c r="C80" s="64" t="s">
        <v>149</v>
      </c>
      <c r="D80" s="64" t="s">
        <v>150</v>
      </c>
      <c r="E80" s="64" t="s">
        <v>107</v>
      </c>
      <c r="F80" s="64" t="s">
        <v>108</v>
      </c>
      <c r="G80" s="64" t="s">
        <v>48</v>
      </c>
      <c r="H80" s="65">
        <v>1</v>
      </c>
      <c r="I80" s="65">
        <v>299.99</v>
      </c>
      <c r="J80" s="64" t="s">
        <v>22</v>
      </c>
      <c r="K80" s="64" t="s">
        <v>37</v>
      </c>
      <c r="L80" s="64" t="s">
        <v>24</v>
      </c>
      <c r="M80" s="63">
        <v>44982</v>
      </c>
      <c r="N80" s="68">
        <v>299.99</v>
      </c>
      <c r="O80" s="71"/>
      <c r="Q80" s="59"/>
      <c r="R80"/>
    </row>
    <row r="81" spans="1:18">
      <c r="A81" s="62" t="s">
        <v>208</v>
      </c>
      <c r="B81" s="63">
        <v>45501</v>
      </c>
      <c r="C81" s="64" t="s">
        <v>88</v>
      </c>
      <c r="D81" s="64" t="s">
        <v>89</v>
      </c>
      <c r="E81" s="64" t="s">
        <v>119</v>
      </c>
      <c r="F81" s="64" t="s">
        <v>120</v>
      </c>
      <c r="G81" s="64" t="s">
        <v>21</v>
      </c>
      <c r="H81" s="65">
        <v>2</v>
      </c>
      <c r="I81" s="65">
        <v>89.99</v>
      </c>
      <c r="J81" s="64" t="s">
        <v>36</v>
      </c>
      <c r="K81" s="64" t="s">
        <v>37</v>
      </c>
      <c r="L81" s="64" t="s">
        <v>24</v>
      </c>
      <c r="M81" s="63">
        <v>44976</v>
      </c>
      <c r="N81" s="68">
        <v>179.98</v>
      </c>
      <c r="O81" s="71"/>
      <c r="Q81" s="59"/>
      <c r="R81"/>
    </row>
    <row r="82" spans="1:18">
      <c r="A82" s="62" t="s">
        <v>209</v>
      </c>
      <c r="B82" s="63">
        <v>45501</v>
      </c>
      <c r="C82" s="64" t="s">
        <v>149</v>
      </c>
      <c r="D82" s="64" t="s">
        <v>150</v>
      </c>
      <c r="E82" s="64" t="s">
        <v>107</v>
      </c>
      <c r="F82" s="64" t="s">
        <v>108</v>
      </c>
      <c r="G82" s="64" t="s">
        <v>48</v>
      </c>
      <c r="H82" s="65">
        <v>3</v>
      </c>
      <c r="I82" s="65">
        <v>299.99</v>
      </c>
      <c r="J82" s="64" t="s">
        <v>22</v>
      </c>
      <c r="K82" s="64" t="s">
        <v>23</v>
      </c>
      <c r="L82" s="64" t="s">
        <v>24</v>
      </c>
      <c r="M82" s="63">
        <v>44732</v>
      </c>
      <c r="N82" s="68">
        <v>899.97</v>
      </c>
      <c r="O82" s="71"/>
      <c r="Q82" s="59"/>
      <c r="R82"/>
    </row>
    <row r="83" spans="1:18">
      <c r="A83" s="62" t="s">
        <v>210</v>
      </c>
      <c r="B83" s="63">
        <v>45503</v>
      </c>
      <c r="C83" s="64" t="s">
        <v>88</v>
      </c>
      <c r="D83" s="64" t="s">
        <v>89</v>
      </c>
      <c r="E83" s="64" t="s">
        <v>82</v>
      </c>
      <c r="F83" s="64" t="s">
        <v>83</v>
      </c>
      <c r="G83" s="64" t="s">
        <v>21</v>
      </c>
      <c r="H83" s="65">
        <v>2</v>
      </c>
      <c r="I83" s="65">
        <v>699.99</v>
      </c>
      <c r="J83" s="64" t="s">
        <v>28</v>
      </c>
      <c r="K83" s="64" t="s">
        <v>42</v>
      </c>
      <c r="L83" s="64" t="s">
        <v>29</v>
      </c>
      <c r="M83" s="63">
        <v>44999</v>
      </c>
      <c r="N83" s="68">
        <v>1399.98</v>
      </c>
      <c r="O83" s="71"/>
      <c r="Q83" s="59"/>
      <c r="R83"/>
    </row>
    <row r="84" spans="1:18">
      <c r="A84" s="62" t="s">
        <v>211</v>
      </c>
      <c r="B84" s="63">
        <v>45504</v>
      </c>
      <c r="C84" s="64" t="s">
        <v>122</v>
      </c>
      <c r="D84" s="64" t="s">
        <v>123</v>
      </c>
      <c r="E84" s="64" t="s">
        <v>63</v>
      </c>
      <c r="F84" s="64" t="s">
        <v>64</v>
      </c>
      <c r="G84" s="64" t="s">
        <v>21</v>
      </c>
      <c r="H84" s="65">
        <v>4</v>
      </c>
      <c r="I84" s="65">
        <v>899.99</v>
      </c>
      <c r="J84" s="64" t="s">
        <v>59</v>
      </c>
      <c r="K84" s="64" t="s">
        <v>37</v>
      </c>
      <c r="L84" s="64" t="s">
        <v>38</v>
      </c>
      <c r="M84" s="63">
        <v>44523</v>
      </c>
      <c r="N84" s="68">
        <v>3599.96</v>
      </c>
      <c r="O84" s="71"/>
      <c r="Q84" s="59"/>
      <c r="R84"/>
    </row>
    <row r="85" spans="1:18">
      <c r="A85" s="62" t="s">
        <v>212</v>
      </c>
      <c r="B85" s="63">
        <v>45509</v>
      </c>
      <c r="C85" s="64" t="s">
        <v>213</v>
      </c>
      <c r="D85" s="64" t="s">
        <v>214</v>
      </c>
      <c r="E85" s="64" t="s">
        <v>46</v>
      </c>
      <c r="F85" s="64" t="s">
        <v>47</v>
      </c>
      <c r="G85" s="64" t="s">
        <v>48</v>
      </c>
      <c r="H85" s="65">
        <v>2</v>
      </c>
      <c r="I85" s="65">
        <v>149.99</v>
      </c>
      <c r="J85" s="64" t="s">
        <v>28</v>
      </c>
      <c r="K85" s="64" t="s">
        <v>52</v>
      </c>
      <c r="L85" s="64" t="s">
        <v>24</v>
      </c>
      <c r="M85" s="63">
        <v>44542</v>
      </c>
      <c r="N85" s="68">
        <v>299.98</v>
      </c>
      <c r="O85" s="71"/>
      <c r="Q85" s="59"/>
      <c r="R85"/>
    </row>
    <row r="86" spans="1:18">
      <c r="A86" s="62" t="s">
        <v>215</v>
      </c>
      <c r="B86" s="63">
        <v>45510</v>
      </c>
      <c r="C86" s="64" t="s">
        <v>104</v>
      </c>
      <c r="D86" s="64" t="s">
        <v>105</v>
      </c>
      <c r="E86" s="64" t="s">
        <v>46</v>
      </c>
      <c r="F86" s="64" t="s">
        <v>47</v>
      </c>
      <c r="G86" s="64" t="s">
        <v>48</v>
      </c>
      <c r="H86" s="65">
        <v>2</v>
      </c>
      <c r="I86" s="65">
        <v>149.99</v>
      </c>
      <c r="J86" s="64" t="s">
        <v>59</v>
      </c>
      <c r="K86" s="64" t="s">
        <v>65</v>
      </c>
      <c r="L86" s="64" t="s">
        <v>38</v>
      </c>
      <c r="M86" s="63">
        <v>44667</v>
      </c>
      <c r="N86" s="68">
        <v>299.98</v>
      </c>
      <c r="O86" s="71"/>
      <c r="Q86" s="59"/>
      <c r="R86"/>
    </row>
    <row r="87" spans="1:18">
      <c r="A87" s="62" t="s">
        <v>216</v>
      </c>
      <c r="B87" s="63">
        <v>45513</v>
      </c>
      <c r="C87" s="64" t="s">
        <v>91</v>
      </c>
      <c r="D87" s="64" t="s">
        <v>92</v>
      </c>
      <c r="E87" s="64" t="s">
        <v>119</v>
      </c>
      <c r="F87" s="64" t="s">
        <v>120</v>
      </c>
      <c r="G87" s="64" t="s">
        <v>21</v>
      </c>
      <c r="H87" s="65">
        <v>1</v>
      </c>
      <c r="I87" s="65">
        <v>89.99</v>
      </c>
      <c r="J87" s="64" t="s">
        <v>28</v>
      </c>
      <c r="K87" s="64" t="s">
        <v>42</v>
      </c>
      <c r="L87" s="64" t="s">
        <v>38</v>
      </c>
      <c r="M87" s="63">
        <v>45393</v>
      </c>
      <c r="N87" s="68">
        <v>89.99</v>
      </c>
      <c r="O87" s="71"/>
      <c r="Q87" s="59"/>
      <c r="R87"/>
    </row>
    <row r="88" spans="1:18">
      <c r="A88" s="62" t="s">
        <v>217</v>
      </c>
      <c r="B88" s="63">
        <v>45515</v>
      </c>
      <c r="C88" s="64" t="s">
        <v>88</v>
      </c>
      <c r="D88" s="64" t="s">
        <v>89</v>
      </c>
      <c r="E88" s="64" t="s">
        <v>107</v>
      </c>
      <c r="F88" s="64" t="s">
        <v>108</v>
      </c>
      <c r="G88" s="64" t="s">
        <v>48</v>
      </c>
      <c r="H88" s="65">
        <v>5</v>
      </c>
      <c r="I88" s="65">
        <v>299.99</v>
      </c>
      <c r="J88" s="64" t="s">
        <v>28</v>
      </c>
      <c r="K88" s="64" t="s">
        <v>42</v>
      </c>
      <c r="L88" s="64" t="s">
        <v>24</v>
      </c>
      <c r="M88" s="63">
        <v>44965</v>
      </c>
      <c r="N88" s="68">
        <v>1499.95</v>
      </c>
      <c r="O88" s="71"/>
      <c r="Q88" s="59"/>
      <c r="R88"/>
    </row>
    <row r="89" spans="1:18">
      <c r="A89" s="62" t="s">
        <v>218</v>
      </c>
      <c r="B89" s="63">
        <v>45517</v>
      </c>
      <c r="C89" s="64" t="s">
        <v>184</v>
      </c>
      <c r="D89" s="64" t="s">
        <v>185</v>
      </c>
      <c r="E89" s="64" t="s">
        <v>54</v>
      </c>
      <c r="F89" s="64" t="s">
        <v>55</v>
      </c>
      <c r="G89" s="64" t="s">
        <v>21</v>
      </c>
      <c r="H89" s="65">
        <v>4</v>
      </c>
      <c r="I89" s="65">
        <v>149.99</v>
      </c>
      <c r="J89" s="64" t="s">
        <v>59</v>
      </c>
      <c r="K89" s="64" t="s">
        <v>37</v>
      </c>
      <c r="L89" s="64" t="s">
        <v>29</v>
      </c>
      <c r="M89" s="63">
        <v>44820</v>
      </c>
      <c r="N89" s="68">
        <v>599.96</v>
      </c>
      <c r="O89" s="71"/>
      <c r="Q89" s="59"/>
      <c r="R89"/>
    </row>
    <row r="90" spans="1:18">
      <c r="A90" s="62" t="s">
        <v>219</v>
      </c>
      <c r="B90" s="63">
        <v>45517</v>
      </c>
      <c r="C90" s="64" t="s">
        <v>187</v>
      </c>
      <c r="D90" s="64" t="s">
        <v>188</v>
      </c>
      <c r="E90" s="64" t="s">
        <v>19</v>
      </c>
      <c r="F90" s="64" t="s">
        <v>20</v>
      </c>
      <c r="G90" s="64" t="s">
        <v>21</v>
      </c>
      <c r="H90" s="65">
        <v>5</v>
      </c>
      <c r="I90" s="65">
        <v>249.99</v>
      </c>
      <c r="J90" s="64" t="s">
        <v>36</v>
      </c>
      <c r="K90" s="64" t="s">
        <v>65</v>
      </c>
      <c r="L90" s="64" t="s">
        <v>29</v>
      </c>
      <c r="M90" s="63">
        <v>44782</v>
      </c>
      <c r="N90" s="68">
        <v>1249.95</v>
      </c>
      <c r="O90" s="71"/>
      <c r="Q90" s="59"/>
      <c r="R90"/>
    </row>
    <row r="91" spans="1:18">
      <c r="A91" s="62" t="s">
        <v>220</v>
      </c>
      <c r="B91" s="63">
        <v>45517</v>
      </c>
      <c r="C91" s="64" t="s">
        <v>67</v>
      </c>
      <c r="D91" s="64" t="s">
        <v>68</v>
      </c>
      <c r="E91" s="64" t="s">
        <v>19</v>
      </c>
      <c r="F91" s="64" t="s">
        <v>20</v>
      </c>
      <c r="G91" s="64" t="s">
        <v>21</v>
      </c>
      <c r="H91" s="65">
        <v>3</v>
      </c>
      <c r="I91" s="65">
        <v>249.99</v>
      </c>
      <c r="J91" s="64" t="s">
        <v>36</v>
      </c>
      <c r="K91" s="64" t="s">
        <v>42</v>
      </c>
      <c r="L91" s="64" t="s">
        <v>29</v>
      </c>
      <c r="M91" s="63">
        <v>44465</v>
      </c>
      <c r="N91" s="68">
        <v>749.97</v>
      </c>
      <c r="O91" s="71"/>
      <c r="Q91" s="59"/>
      <c r="R91"/>
    </row>
    <row r="92" spans="1:18">
      <c r="A92" s="62" t="s">
        <v>221</v>
      </c>
      <c r="B92" s="63">
        <v>45517</v>
      </c>
      <c r="C92" s="64" t="s">
        <v>40</v>
      </c>
      <c r="D92" s="64" t="s">
        <v>41</v>
      </c>
      <c r="E92" s="64" t="s">
        <v>128</v>
      </c>
      <c r="F92" s="64" t="s">
        <v>129</v>
      </c>
      <c r="G92" s="64" t="s">
        <v>48</v>
      </c>
      <c r="H92" s="65">
        <v>4</v>
      </c>
      <c r="I92" s="65">
        <v>199.99</v>
      </c>
      <c r="J92" s="64" t="s">
        <v>22</v>
      </c>
      <c r="K92" s="64" t="s">
        <v>42</v>
      </c>
      <c r="L92" s="64" t="s">
        <v>38</v>
      </c>
      <c r="M92" s="63">
        <v>44458</v>
      </c>
      <c r="N92" s="68">
        <v>799.96</v>
      </c>
      <c r="O92" s="71"/>
      <c r="Q92" s="59"/>
      <c r="R92"/>
    </row>
    <row r="93" spans="1:18">
      <c r="A93" s="62" t="s">
        <v>222</v>
      </c>
      <c r="B93" s="63">
        <v>45519</v>
      </c>
      <c r="C93" s="64" t="s">
        <v>160</v>
      </c>
      <c r="D93" s="64" t="s">
        <v>161</v>
      </c>
      <c r="E93" s="64" t="s">
        <v>128</v>
      </c>
      <c r="F93" s="64" t="s">
        <v>129</v>
      </c>
      <c r="G93" s="64" t="s">
        <v>48</v>
      </c>
      <c r="H93" s="65">
        <v>5</v>
      </c>
      <c r="I93" s="65">
        <v>199.99</v>
      </c>
      <c r="J93" s="64" t="s">
        <v>22</v>
      </c>
      <c r="K93" s="64" t="s">
        <v>42</v>
      </c>
      <c r="L93" s="64" t="s">
        <v>29</v>
      </c>
      <c r="M93" s="63">
        <v>44991</v>
      </c>
      <c r="N93" s="68">
        <v>999.95</v>
      </c>
      <c r="O93" s="71"/>
      <c r="Q93" s="59"/>
      <c r="R93"/>
    </row>
    <row r="94" spans="1:18">
      <c r="A94" s="62" t="s">
        <v>223</v>
      </c>
      <c r="B94" s="63">
        <v>45522</v>
      </c>
      <c r="C94" s="64" t="s">
        <v>88</v>
      </c>
      <c r="D94" s="64" t="s">
        <v>89</v>
      </c>
      <c r="E94" s="64" t="s">
        <v>119</v>
      </c>
      <c r="F94" s="64" t="s">
        <v>120</v>
      </c>
      <c r="G94" s="64" t="s">
        <v>21</v>
      </c>
      <c r="H94" s="65">
        <v>2</v>
      </c>
      <c r="I94" s="65">
        <v>89.99</v>
      </c>
      <c r="J94" s="64" t="s">
        <v>22</v>
      </c>
      <c r="K94" s="64" t="s">
        <v>65</v>
      </c>
      <c r="L94" s="64" t="s">
        <v>29</v>
      </c>
      <c r="M94" s="63">
        <v>44972</v>
      </c>
      <c r="N94" s="68">
        <v>179.98</v>
      </c>
      <c r="O94" s="71"/>
      <c r="Q94" s="59"/>
      <c r="R94"/>
    </row>
    <row r="95" spans="1:18">
      <c r="A95" s="62" t="s">
        <v>224</v>
      </c>
      <c r="B95" s="63">
        <v>45523</v>
      </c>
      <c r="C95" s="64" t="s">
        <v>198</v>
      </c>
      <c r="D95" s="64" t="s">
        <v>199</v>
      </c>
      <c r="E95" s="64" t="s">
        <v>63</v>
      </c>
      <c r="F95" s="64" t="s">
        <v>64</v>
      </c>
      <c r="G95" s="64" t="s">
        <v>21</v>
      </c>
      <c r="H95" s="65">
        <v>5</v>
      </c>
      <c r="I95" s="65">
        <v>899.99</v>
      </c>
      <c r="J95" s="64" t="s">
        <v>59</v>
      </c>
      <c r="K95" s="64" t="s">
        <v>65</v>
      </c>
      <c r="L95" s="64" t="s">
        <v>24</v>
      </c>
      <c r="M95" s="63">
        <v>44526</v>
      </c>
      <c r="N95" s="68">
        <v>4499.95</v>
      </c>
      <c r="O95" s="71"/>
      <c r="Q95" s="59"/>
      <c r="R95"/>
    </row>
    <row r="96" spans="1:18">
      <c r="A96" s="62" t="s">
        <v>225</v>
      </c>
      <c r="B96" s="63">
        <v>45523</v>
      </c>
      <c r="C96" s="64" t="s">
        <v>110</v>
      </c>
      <c r="D96" s="64" t="s">
        <v>111</v>
      </c>
      <c r="E96" s="64" t="s">
        <v>54</v>
      </c>
      <c r="F96" s="64" t="s">
        <v>55</v>
      </c>
      <c r="G96" s="64" t="s">
        <v>21</v>
      </c>
      <c r="H96" s="65">
        <v>3</v>
      </c>
      <c r="I96" s="65">
        <v>149.99</v>
      </c>
      <c r="J96" s="64" t="s">
        <v>36</v>
      </c>
      <c r="K96" s="64" t="s">
        <v>65</v>
      </c>
      <c r="L96" s="64" t="s">
        <v>24</v>
      </c>
      <c r="M96" s="63">
        <v>44574</v>
      </c>
      <c r="N96" s="68">
        <v>449.97</v>
      </c>
      <c r="O96" s="71"/>
      <c r="Q96" s="59"/>
      <c r="R96"/>
    </row>
    <row r="97" spans="1:18">
      <c r="A97" s="62" t="s">
        <v>226</v>
      </c>
      <c r="B97" s="63">
        <v>45526</v>
      </c>
      <c r="C97" s="64" t="s">
        <v>104</v>
      </c>
      <c r="D97" s="64" t="s">
        <v>105</v>
      </c>
      <c r="E97" s="64" t="s">
        <v>46</v>
      </c>
      <c r="F97" s="64" t="s">
        <v>47</v>
      </c>
      <c r="G97" s="64" t="s">
        <v>48</v>
      </c>
      <c r="H97" s="65">
        <v>5</v>
      </c>
      <c r="I97" s="65">
        <v>149.99</v>
      </c>
      <c r="J97" s="64" t="s">
        <v>28</v>
      </c>
      <c r="K97" s="64" t="s">
        <v>23</v>
      </c>
      <c r="L97" s="64" t="s">
        <v>24</v>
      </c>
      <c r="M97" s="63">
        <v>45310</v>
      </c>
      <c r="N97" s="68">
        <v>749.95</v>
      </c>
      <c r="O97" s="71"/>
      <c r="Q97" s="59"/>
      <c r="R97"/>
    </row>
    <row r="98" spans="1:18">
      <c r="A98" s="62" t="s">
        <v>227</v>
      </c>
      <c r="B98" s="63">
        <v>45528</v>
      </c>
      <c r="C98" s="64" t="s">
        <v>228</v>
      </c>
      <c r="D98" s="64" t="s">
        <v>229</v>
      </c>
      <c r="E98" s="64" t="s">
        <v>116</v>
      </c>
      <c r="F98" s="64" t="s">
        <v>117</v>
      </c>
      <c r="G98" s="64" t="s">
        <v>35</v>
      </c>
      <c r="H98" s="65">
        <v>3</v>
      </c>
      <c r="I98" s="65">
        <v>79.989999999999995</v>
      </c>
      <c r="J98" s="64" t="s">
        <v>22</v>
      </c>
      <c r="K98" s="64" t="s">
        <v>23</v>
      </c>
      <c r="L98" s="64" t="s">
        <v>29</v>
      </c>
      <c r="M98" s="63">
        <v>44779</v>
      </c>
      <c r="N98" s="68">
        <v>239.97</v>
      </c>
      <c r="O98" s="71"/>
      <c r="Q98" s="59"/>
      <c r="R98"/>
    </row>
    <row r="99" spans="1:18">
      <c r="A99" s="62" t="s">
        <v>230</v>
      </c>
      <c r="B99" s="63">
        <v>45528</v>
      </c>
      <c r="C99" s="64" t="s">
        <v>146</v>
      </c>
      <c r="D99" s="64" t="s">
        <v>147</v>
      </c>
      <c r="E99" s="64" t="s">
        <v>19</v>
      </c>
      <c r="F99" s="64" t="s">
        <v>20</v>
      </c>
      <c r="G99" s="64" t="s">
        <v>21</v>
      </c>
      <c r="H99" s="65">
        <v>2</v>
      </c>
      <c r="I99" s="65">
        <v>249.99</v>
      </c>
      <c r="J99" s="64" t="s">
        <v>22</v>
      </c>
      <c r="K99" s="64" t="s">
        <v>37</v>
      </c>
      <c r="L99" s="64" t="s">
        <v>38</v>
      </c>
      <c r="M99" s="63">
        <v>44572</v>
      </c>
      <c r="N99" s="68">
        <v>499.98</v>
      </c>
      <c r="O99" s="71"/>
      <c r="Q99" s="59"/>
      <c r="R99"/>
    </row>
    <row r="100" spans="1:18">
      <c r="A100" s="62" t="s">
        <v>231</v>
      </c>
      <c r="B100" s="63">
        <v>45532</v>
      </c>
      <c r="C100" s="64" t="s">
        <v>198</v>
      </c>
      <c r="D100" s="64" t="s">
        <v>199</v>
      </c>
      <c r="E100" s="64" t="s">
        <v>82</v>
      </c>
      <c r="F100" s="64" t="s">
        <v>83</v>
      </c>
      <c r="G100" s="64" t="s">
        <v>21</v>
      </c>
      <c r="H100" s="65">
        <v>1</v>
      </c>
      <c r="I100" s="65">
        <v>699.99</v>
      </c>
      <c r="J100" s="64" t="s">
        <v>22</v>
      </c>
      <c r="K100" s="64" t="s">
        <v>23</v>
      </c>
      <c r="L100" s="64" t="s">
        <v>29</v>
      </c>
      <c r="M100" s="63">
        <v>44497</v>
      </c>
      <c r="N100" s="68">
        <v>699.99</v>
      </c>
      <c r="O100" s="71"/>
      <c r="Q100" s="59"/>
      <c r="R100"/>
    </row>
    <row r="101" spans="1:18">
      <c r="A101" s="62" t="s">
        <v>232</v>
      </c>
      <c r="B101" s="63">
        <v>45532</v>
      </c>
      <c r="C101" s="64" t="s">
        <v>233</v>
      </c>
      <c r="D101" s="64" t="s">
        <v>234</v>
      </c>
      <c r="E101" s="64" t="s">
        <v>54</v>
      </c>
      <c r="F101" s="64" t="s">
        <v>55</v>
      </c>
      <c r="G101" s="64" t="s">
        <v>21</v>
      </c>
      <c r="H101" s="65">
        <v>3</v>
      </c>
      <c r="I101" s="65">
        <v>149.99</v>
      </c>
      <c r="J101" s="64" t="s">
        <v>22</v>
      </c>
      <c r="K101" s="64" t="s">
        <v>52</v>
      </c>
      <c r="L101" s="64" t="s">
        <v>29</v>
      </c>
      <c r="M101" s="63">
        <v>45212</v>
      </c>
      <c r="N101" s="68">
        <v>449.97</v>
      </c>
      <c r="O101" s="71"/>
      <c r="Q101" s="59"/>
      <c r="R101"/>
    </row>
    <row r="102" spans="1:18">
      <c r="A102" s="62" t="s">
        <v>235</v>
      </c>
      <c r="B102" s="63">
        <v>45534</v>
      </c>
      <c r="C102" s="64" t="s">
        <v>236</v>
      </c>
      <c r="D102" s="64" t="s">
        <v>237</v>
      </c>
      <c r="E102" s="64" t="s">
        <v>82</v>
      </c>
      <c r="F102" s="64" t="s">
        <v>83</v>
      </c>
      <c r="G102" s="64" t="s">
        <v>21</v>
      </c>
      <c r="H102" s="65">
        <v>2</v>
      </c>
      <c r="I102" s="65">
        <v>699.99</v>
      </c>
      <c r="J102" s="64" t="s">
        <v>28</v>
      </c>
      <c r="K102" s="64" t="s">
        <v>42</v>
      </c>
      <c r="L102" s="64" t="s">
        <v>29</v>
      </c>
      <c r="M102" s="63">
        <v>44421</v>
      </c>
      <c r="N102" s="68">
        <v>1399.98</v>
      </c>
      <c r="O102" s="71"/>
      <c r="Q102" s="59"/>
      <c r="R102"/>
    </row>
    <row r="103" spans="1:18">
      <c r="A103" s="62" t="s">
        <v>238</v>
      </c>
      <c r="B103" s="63">
        <v>45537</v>
      </c>
      <c r="C103" s="64" t="s">
        <v>233</v>
      </c>
      <c r="D103" s="64" t="s">
        <v>234</v>
      </c>
      <c r="E103" s="64" t="s">
        <v>19</v>
      </c>
      <c r="F103" s="64" t="s">
        <v>20</v>
      </c>
      <c r="G103" s="64" t="s">
        <v>21</v>
      </c>
      <c r="H103" s="65">
        <v>1</v>
      </c>
      <c r="I103" s="65">
        <v>249.99</v>
      </c>
      <c r="J103" s="64" t="s">
        <v>28</v>
      </c>
      <c r="K103" s="64" t="s">
        <v>52</v>
      </c>
      <c r="L103" s="64" t="s">
        <v>29</v>
      </c>
      <c r="M103" s="63">
        <v>44685</v>
      </c>
      <c r="N103" s="68">
        <v>249.99</v>
      </c>
      <c r="O103" s="71"/>
      <c r="Q103" s="59"/>
      <c r="R103"/>
    </row>
    <row r="104" spans="1:18">
      <c r="A104" s="62" t="s">
        <v>239</v>
      </c>
      <c r="B104" s="63">
        <v>45537</v>
      </c>
      <c r="C104" s="64" t="s">
        <v>17</v>
      </c>
      <c r="D104" s="64" t="s">
        <v>18</v>
      </c>
      <c r="E104" s="64" t="s">
        <v>19</v>
      </c>
      <c r="F104" s="64" t="s">
        <v>20</v>
      </c>
      <c r="G104" s="64" t="s">
        <v>21</v>
      </c>
      <c r="H104" s="65">
        <v>1</v>
      </c>
      <c r="I104" s="65">
        <v>249.99</v>
      </c>
      <c r="J104" s="64" t="s">
        <v>59</v>
      </c>
      <c r="K104" s="64" t="s">
        <v>42</v>
      </c>
      <c r="L104" s="64" t="s">
        <v>29</v>
      </c>
      <c r="M104" s="63">
        <v>45332</v>
      </c>
      <c r="N104" s="68">
        <v>249.99</v>
      </c>
      <c r="O104" s="71"/>
      <c r="Q104" s="59"/>
      <c r="R104"/>
    </row>
    <row r="105" spans="1:18">
      <c r="A105" s="62" t="s">
        <v>240</v>
      </c>
      <c r="B105" s="63">
        <v>45538</v>
      </c>
      <c r="C105" s="64" t="s">
        <v>228</v>
      </c>
      <c r="D105" s="64" t="s">
        <v>229</v>
      </c>
      <c r="E105" s="64" t="s">
        <v>82</v>
      </c>
      <c r="F105" s="64" t="s">
        <v>83</v>
      </c>
      <c r="G105" s="64" t="s">
        <v>21</v>
      </c>
      <c r="H105" s="65">
        <v>2</v>
      </c>
      <c r="I105" s="65">
        <v>699.99</v>
      </c>
      <c r="J105" s="64" t="s">
        <v>59</v>
      </c>
      <c r="K105" s="64" t="s">
        <v>23</v>
      </c>
      <c r="L105" s="64" t="s">
        <v>29</v>
      </c>
      <c r="M105" s="63">
        <v>44870</v>
      </c>
      <c r="N105" s="68">
        <v>1399.98</v>
      </c>
      <c r="O105" s="71"/>
      <c r="Q105" s="59"/>
      <c r="R105"/>
    </row>
    <row r="106" spans="1:18">
      <c r="A106" s="62" t="s">
        <v>241</v>
      </c>
      <c r="B106" s="63">
        <v>45541</v>
      </c>
      <c r="C106" s="64" t="s">
        <v>140</v>
      </c>
      <c r="D106" s="64" t="s">
        <v>141</v>
      </c>
      <c r="E106" s="64" t="s">
        <v>33</v>
      </c>
      <c r="F106" s="64" t="s">
        <v>34</v>
      </c>
      <c r="G106" s="64" t="s">
        <v>35</v>
      </c>
      <c r="H106" s="65">
        <v>3</v>
      </c>
      <c r="I106" s="65">
        <v>59.99</v>
      </c>
      <c r="J106" s="64" t="s">
        <v>28</v>
      </c>
      <c r="K106" s="64" t="s">
        <v>23</v>
      </c>
      <c r="L106" s="64" t="s">
        <v>29</v>
      </c>
      <c r="M106" s="63">
        <v>44717</v>
      </c>
      <c r="N106" s="68">
        <v>179.97</v>
      </c>
      <c r="O106" s="71"/>
      <c r="Q106" s="59"/>
      <c r="R106"/>
    </row>
    <row r="107" spans="1:18">
      <c r="A107" s="62" t="s">
        <v>242</v>
      </c>
      <c r="B107" s="63">
        <v>45544</v>
      </c>
      <c r="C107" s="64" t="s">
        <v>134</v>
      </c>
      <c r="D107" s="64" t="s">
        <v>135</v>
      </c>
      <c r="E107" s="64" t="s">
        <v>33</v>
      </c>
      <c r="F107" s="64" t="s">
        <v>34</v>
      </c>
      <c r="G107" s="64" t="s">
        <v>35</v>
      </c>
      <c r="H107" s="65">
        <v>3</v>
      </c>
      <c r="I107" s="65">
        <v>59.99</v>
      </c>
      <c r="J107" s="64" t="s">
        <v>36</v>
      </c>
      <c r="K107" s="64" t="s">
        <v>65</v>
      </c>
      <c r="L107" s="64" t="s">
        <v>38</v>
      </c>
      <c r="M107" s="63">
        <v>44748</v>
      </c>
      <c r="N107" s="68">
        <v>179.97</v>
      </c>
      <c r="O107" s="71"/>
      <c r="Q107" s="59"/>
      <c r="R107"/>
    </row>
    <row r="108" spans="1:18">
      <c r="A108" s="62" t="s">
        <v>243</v>
      </c>
      <c r="B108" s="63">
        <v>45544</v>
      </c>
      <c r="C108" s="64" t="s">
        <v>143</v>
      </c>
      <c r="D108" s="64" t="s">
        <v>144</v>
      </c>
      <c r="E108" s="64" t="s">
        <v>116</v>
      </c>
      <c r="F108" s="64" t="s">
        <v>117</v>
      </c>
      <c r="G108" s="64" t="s">
        <v>35</v>
      </c>
      <c r="H108" s="65">
        <v>4</v>
      </c>
      <c r="I108" s="65">
        <v>79.989999999999995</v>
      </c>
      <c r="J108" s="64" t="s">
        <v>22</v>
      </c>
      <c r="K108" s="64" t="s">
        <v>42</v>
      </c>
      <c r="L108" s="64" t="s">
        <v>24</v>
      </c>
      <c r="M108" s="63">
        <v>44530</v>
      </c>
      <c r="N108" s="68">
        <v>319.95999999999998</v>
      </c>
      <c r="O108" s="71"/>
      <c r="Q108" s="59"/>
      <c r="R108"/>
    </row>
    <row r="109" spans="1:18">
      <c r="A109" s="62" t="s">
        <v>244</v>
      </c>
      <c r="B109" s="63">
        <v>45545</v>
      </c>
      <c r="C109" s="64" t="s">
        <v>57</v>
      </c>
      <c r="D109" s="64" t="s">
        <v>58</v>
      </c>
      <c r="E109" s="64" t="s">
        <v>116</v>
      </c>
      <c r="F109" s="64" t="s">
        <v>117</v>
      </c>
      <c r="G109" s="64" t="s">
        <v>35</v>
      </c>
      <c r="H109" s="65">
        <v>1</v>
      </c>
      <c r="I109" s="65">
        <v>79.989999999999995</v>
      </c>
      <c r="J109" s="64" t="s">
        <v>22</v>
      </c>
      <c r="K109" s="64" t="s">
        <v>52</v>
      </c>
      <c r="L109" s="64" t="s">
        <v>24</v>
      </c>
      <c r="M109" s="63">
        <v>44693</v>
      </c>
      <c r="N109" s="68">
        <v>79.989999999999995</v>
      </c>
      <c r="O109" s="71"/>
      <c r="Q109" s="59"/>
      <c r="R109"/>
    </row>
    <row r="110" spans="1:18">
      <c r="A110" s="62" t="s">
        <v>245</v>
      </c>
      <c r="B110" s="63">
        <v>45547</v>
      </c>
      <c r="C110" s="64" t="s">
        <v>50</v>
      </c>
      <c r="D110" s="64" t="s">
        <v>51</v>
      </c>
      <c r="E110" s="64" t="s">
        <v>107</v>
      </c>
      <c r="F110" s="64" t="s">
        <v>108</v>
      </c>
      <c r="G110" s="64" t="s">
        <v>48</v>
      </c>
      <c r="H110" s="65">
        <v>3</v>
      </c>
      <c r="I110" s="65">
        <v>299.99</v>
      </c>
      <c r="J110" s="64" t="s">
        <v>28</v>
      </c>
      <c r="K110" s="64" t="s">
        <v>23</v>
      </c>
      <c r="L110" s="64" t="s">
        <v>29</v>
      </c>
      <c r="M110" s="63">
        <v>44494</v>
      </c>
      <c r="N110" s="68">
        <v>899.97</v>
      </c>
      <c r="O110" s="71"/>
      <c r="Q110" s="59"/>
      <c r="R110"/>
    </row>
    <row r="111" spans="1:18">
      <c r="A111" s="62" t="s">
        <v>246</v>
      </c>
      <c r="B111" s="63">
        <v>45548</v>
      </c>
      <c r="C111" s="64" t="s">
        <v>40</v>
      </c>
      <c r="D111" s="64" t="s">
        <v>41</v>
      </c>
      <c r="E111" s="64" t="s">
        <v>119</v>
      </c>
      <c r="F111" s="64" t="s">
        <v>120</v>
      </c>
      <c r="G111" s="64" t="s">
        <v>21</v>
      </c>
      <c r="H111" s="65">
        <v>2</v>
      </c>
      <c r="I111" s="65">
        <v>89.99</v>
      </c>
      <c r="J111" s="64" t="s">
        <v>28</v>
      </c>
      <c r="K111" s="64" t="s">
        <v>37</v>
      </c>
      <c r="L111" s="64" t="s">
        <v>29</v>
      </c>
      <c r="M111" s="63">
        <v>44641</v>
      </c>
      <c r="N111" s="68">
        <v>179.98</v>
      </c>
      <c r="O111" s="71"/>
      <c r="Q111" s="59"/>
      <c r="R111"/>
    </row>
    <row r="112" spans="1:18">
      <c r="A112" s="62" t="s">
        <v>247</v>
      </c>
      <c r="B112" s="63">
        <v>45550</v>
      </c>
      <c r="C112" s="64" t="s">
        <v>248</v>
      </c>
      <c r="D112" s="64" t="s">
        <v>249</v>
      </c>
      <c r="E112" s="64" t="s">
        <v>54</v>
      </c>
      <c r="F112" s="64" t="s">
        <v>55</v>
      </c>
      <c r="G112" s="64" t="s">
        <v>21</v>
      </c>
      <c r="H112" s="65">
        <v>4</v>
      </c>
      <c r="I112" s="65">
        <v>149.99</v>
      </c>
      <c r="J112" s="64" t="s">
        <v>22</v>
      </c>
      <c r="K112" s="64" t="s">
        <v>42</v>
      </c>
      <c r="L112" s="64" t="s">
        <v>24</v>
      </c>
      <c r="M112" s="63">
        <v>44909</v>
      </c>
      <c r="N112" s="68">
        <v>599.96</v>
      </c>
      <c r="O112" s="71"/>
      <c r="Q112" s="59"/>
      <c r="R112"/>
    </row>
    <row r="113" spans="1:18">
      <c r="A113" s="62" t="s">
        <v>250</v>
      </c>
      <c r="B113" s="63">
        <v>45551</v>
      </c>
      <c r="C113" s="64" t="s">
        <v>67</v>
      </c>
      <c r="D113" s="64" t="s">
        <v>68</v>
      </c>
      <c r="E113" s="64" t="s">
        <v>19</v>
      </c>
      <c r="F113" s="64" t="s">
        <v>20</v>
      </c>
      <c r="G113" s="64" t="s">
        <v>21</v>
      </c>
      <c r="H113" s="65">
        <v>2</v>
      </c>
      <c r="I113" s="65">
        <v>249.99</v>
      </c>
      <c r="J113" s="64" t="s">
        <v>36</v>
      </c>
      <c r="K113" s="64" t="s">
        <v>37</v>
      </c>
      <c r="L113" s="64" t="s">
        <v>24</v>
      </c>
      <c r="M113" s="63">
        <v>44993</v>
      </c>
      <c r="N113" s="68">
        <v>499.98</v>
      </c>
      <c r="O113" s="71"/>
      <c r="Q113" s="59"/>
      <c r="R113"/>
    </row>
    <row r="114" spans="1:18">
      <c r="A114" s="62" t="s">
        <v>251</v>
      </c>
      <c r="B114" s="63">
        <v>45551</v>
      </c>
      <c r="C114" s="64" t="s">
        <v>156</v>
      </c>
      <c r="D114" s="64" t="s">
        <v>157</v>
      </c>
      <c r="E114" s="64" t="s">
        <v>128</v>
      </c>
      <c r="F114" s="64" t="s">
        <v>129</v>
      </c>
      <c r="G114" s="64" t="s">
        <v>48</v>
      </c>
      <c r="H114" s="65">
        <v>4</v>
      </c>
      <c r="I114" s="65">
        <v>199.99</v>
      </c>
      <c r="J114" s="64" t="s">
        <v>59</v>
      </c>
      <c r="K114" s="64" t="s">
        <v>65</v>
      </c>
      <c r="L114" s="64" t="s">
        <v>24</v>
      </c>
      <c r="M114" s="63">
        <v>44458</v>
      </c>
      <c r="N114" s="68">
        <v>799.96</v>
      </c>
      <c r="O114" s="71"/>
      <c r="Q114" s="59"/>
      <c r="R114"/>
    </row>
    <row r="115" spans="1:18">
      <c r="A115" s="62" t="s">
        <v>252</v>
      </c>
      <c r="B115" s="63">
        <v>45554</v>
      </c>
      <c r="C115" s="64" t="s">
        <v>149</v>
      </c>
      <c r="D115" s="64" t="s">
        <v>150</v>
      </c>
      <c r="E115" s="64" t="s">
        <v>119</v>
      </c>
      <c r="F115" s="64" t="s">
        <v>120</v>
      </c>
      <c r="G115" s="64" t="s">
        <v>21</v>
      </c>
      <c r="H115" s="65">
        <v>5</v>
      </c>
      <c r="I115" s="65">
        <v>89.99</v>
      </c>
      <c r="J115" s="64" t="s">
        <v>28</v>
      </c>
      <c r="K115" s="64" t="s">
        <v>65</v>
      </c>
      <c r="L115" s="64" t="s">
        <v>29</v>
      </c>
      <c r="M115" s="63">
        <v>44446</v>
      </c>
      <c r="N115" s="68">
        <v>449.95</v>
      </c>
      <c r="O115" s="71"/>
      <c r="Q115" s="59"/>
      <c r="R115"/>
    </row>
    <row r="116" spans="1:18">
      <c r="A116" s="62" t="s">
        <v>253</v>
      </c>
      <c r="B116" s="63">
        <v>45554</v>
      </c>
      <c r="C116" s="64" t="s">
        <v>254</v>
      </c>
      <c r="D116" s="64" t="s">
        <v>255</v>
      </c>
      <c r="E116" s="64" t="s">
        <v>54</v>
      </c>
      <c r="F116" s="64" t="s">
        <v>55</v>
      </c>
      <c r="G116" s="64" t="s">
        <v>21</v>
      </c>
      <c r="H116" s="65">
        <v>1</v>
      </c>
      <c r="I116" s="65">
        <v>149.99</v>
      </c>
      <c r="J116" s="64" t="s">
        <v>36</v>
      </c>
      <c r="K116" s="64" t="s">
        <v>65</v>
      </c>
      <c r="L116" s="64" t="s">
        <v>38</v>
      </c>
      <c r="M116" s="63">
        <v>44482</v>
      </c>
      <c r="N116" s="68">
        <v>149.99</v>
      </c>
      <c r="O116" s="71"/>
      <c r="Q116" s="59"/>
      <c r="R116"/>
    </row>
    <row r="117" spans="1:18">
      <c r="A117" s="62" t="s">
        <v>256</v>
      </c>
      <c r="B117" s="63">
        <v>45554</v>
      </c>
      <c r="C117" s="64" t="s">
        <v>74</v>
      </c>
      <c r="D117" s="64" t="s">
        <v>75</v>
      </c>
      <c r="E117" s="64" t="s">
        <v>82</v>
      </c>
      <c r="F117" s="64" t="s">
        <v>83</v>
      </c>
      <c r="G117" s="64" t="s">
        <v>21</v>
      </c>
      <c r="H117" s="65">
        <v>4</v>
      </c>
      <c r="I117" s="65">
        <v>699.99</v>
      </c>
      <c r="J117" s="64" t="s">
        <v>36</v>
      </c>
      <c r="K117" s="64" t="s">
        <v>37</v>
      </c>
      <c r="L117" s="64" t="s">
        <v>24</v>
      </c>
      <c r="M117" s="63">
        <v>44618</v>
      </c>
      <c r="N117" s="68">
        <v>2799.96</v>
      </c>
      <c r="O117" s="71"/>
      <c r="Q117" s="59"/>
      <c r="R117"/>
    </row>
    <row r="118" spans="1:18">
      <c r="A118" s="62" t="s">
        <v>257</v>
      </c>
      <c r="B118" s="63">
        <v>45559</v>
      </c>
      <c r="C118" s="64" t="s">
        <v>236</v>
      </c>
      <c r="D118" s="64" t="s">
        <v>237</v>
      </c>
      <c r="E118" s="64" t="s">
        <v>63</v>
      </c>
      <c r="F118" s="64" t="s">
        <v>64</v>
      </c>
      <c r="G118" s="64" t="s">
        <v>21</v>
      </c>
      <c r="H118" s="65">
        <v>3</v>
      </c>
      <c r="I118" s="65">
        <v>899.99</v>
      </c>
      <c r="J118" s="64" t="s">
        <v>28</v>
      </c>
      <c r="K118" s="64" t="s">
        <v>42</v>
      </c>
      <c r="L118" s="64" t="s">
        <v>38</v>
      </c>
      <c r="M118" s="63">
        <v>45157</v>
      </c>
      <c r="N118" s="68">
        <v>2699.97</v>
      </c>
      <c r="O118" s="71"/>
      <c r="Q118" s="59"/>
      <c r="R118"/>
    </row>
    <row r="119" spans="1:18">
      <c r="A119" s="62" t="s">
        <v>258</v>
      </c>
      <c r="B119" s="63">
        <v>45560</v>
      </c>
      <c r="C119" s="64" t="s">
        <v>114</v>
      </c>
      <c r="D119" s="64" t="s">
        <v>115</v>
      </c>
      <c r="E119" s="64" t="s">
        <v>46</v>
      </c>
      <c r="F119" s="64" t="s">
        <v>47</v>
      </c>
      <c r="G119" s="64" t="s">
        <v>48</v>
      </c>
      <c r="H119" s="65">
        <v>3</v>
      </c>
      <c r="I119" s="65">
        <v>149.99</v>
      </c>
      <c r="J119" s="64" t="s">
        <v>36</v>
      </c>
      <c r="K119" s="64" t="s">
        <v>65</v>
      </c>
      <c r="L119" s="64" t="s">
        <v>24</v>
      </c>
      <c r="M119" s="63">
        <v>44886</v>
      </c>
      <c r="N119" s="68">
        <v>449.97</v>
      </c>
      <c r="O119" s="71"/>
      <c r="Q119" s="59"/>
      <c r="R119"/>
    </row>
    <row r="120" spans="1:18">
      <c r="A120" s="62" t="s">
        <v>259</v>
      </c>
      <c r="B120" s="63">
        <v>45563</v>
      </c>
      <c r="C120" s="64" t="s">
        <v>101</v>
      </c>
      <c r="D120" s="64" t="s">
        <v>102</v>
      </c>
      <c r="E120" s="64" t="s">
        <v>107</v>
      </c>
      <c r="F120" s="64" t="s">
        <v>108</v>
      </c>
      <c r="G120" s="64" t="s">
        <v>48</v>
      </c>
      <c r="H120" s="65">
        <v>2</v>
      </c>
      <c r="I120" s="65">
        <v>299.99</v>
      </c>
      <c r="J120" s="64" t="s">
        <v>59</v>
      </c>
      <c r="K120" s="64" t="s">
        <v>23</v>
      </c>
      <c r="L120" s="64" t="s">
        <v>24</v>
      </c>
      <c r="M120" s="63">
        <v>44569</v>
      </c>
      <c r="N120" s="68">
        <v>599.98</v>
      </c>
      <c r="O120" s="71"/>
      <c r="Q120" s="59"/>
      <c r="R120"/>
    </row>
    <row r="121" spans="1:18">
      <c r="A121" s="62" t="s">
        <v>260</v>
      </c>
      <c r="B121" s="63">
        <v>45564</v>
      </c>
      <c r="C121" s="64" t="s">
        <v>261</v>
      </c>
      <c r="D121" s="64" t="s">
        <v>262</v>
      </c>
      <c r="E121" s="64" t="s">
        <v>128</v>
      </c>
      <c r="F121" s="64" t="s">
        <v>129</v>
      </c>
      <c r="G121" s="64" t="s">
        <v>48</v>
      </c>
      <c r="H121" s="65">
        <v>1</v>
      </c>
      <c r="I121" s="65">
        <v>199.99</v>
      </c>
      <c r="J121" s="64" t="s">
        <v>59</v>
      </c>
      <c r="K121" s="64" t="s">
        <v>65</v>
      </c>
      <c r="L121" s="64" t="s">
        <v>38</v>
      </c>
      <c r="M121" s="63">
        <v>44953</v>
      </c>
      <c r="N121" s="68">
        <v>199.99</v>
      </c>
      <c r="O121" s="71"/>
      <c r="Q121" s="59"/>
      <c r="R121"/>
    </row>
    <row r="122" spans="1:18">
      <c r="A122" s="62" t="s">
        <v>263</v>
      </c>
      <c r="B122" s="63">
        <v>45566</v>
      </c>
      <c r="C122" s="64" t="s">
        <v>44</v>
      </c>
      <c r="D122" s="64" t="s">
        <v>45</v>
      </c>
      <c r="E122" s="64" t="s">
        <v>107</v>
      </c>
      <c r="F122" s="64" t="s">
        <v>108</v>
      </c>
      <c r="G122" s="64" t="s">
        <v>48</v>
      </c>
      <c r="H122" s="65">
        <v>4</v>
      </c>
      <c r="I122" s="65">
        <v>299.99</v>
      </c>
      <c r="J122" s="64" t="s">
        <v>22</v>
      </c>
      <c r="K122" s="64" t="s">
        <v>23</v>
      </c>
      <c r="L122" s="64" t="s">
        <v>29</v>
      </c>
      <c r="M122" s="63">
        <v>44460</v>
      </c>
      <c r="N122" s="68">
        <v>1199.96</v>
      </c>
      <c r="O122" s="71"/>
      <c r="Q122" s="59"/>
      <c r="R122"/>
    </row>
    <row r="123" spans="1:18">
      <c r="A123" s="62" t="s">
        <v>264</v>
      </c>
      <c r="B123" s="63">
        <v>45572</v>
      </c>
      <c r="C123" s="64" t="s">
        <v>91</v>
      </c>
      <c r="D123" s="64" t="s">
        <v>92</v>
      </c>
      <c r="E123" s="64" t="s">
        <v>33</v>
      </c>
      <c r="F123" s="64" t="s">
        <v>34</v>
      </c>
      <c r="G123" s="64" t="s">
        <v>35</v>
      </c>
      <c r="H123" s="65">
        <v>2</v>
      </c>
      <c r="I123" s="65">
        <v>59.99</v>
      </c>
      <c r="J123" s="64" t="s">
        <v>28</v>
      </c>
      <c r="K123" s="64" t="s">
        <v>23</v>
      </c>
      <c r="L123" s="64" t="s">
        <v>24</v>
      </c>
      <c r="M123" s="63">
        <v>44579</v>
      </c>
      <c r="N123" s="68">
        <v>119.98</v>
      </c>
      <c r="O123" s="71"/>
      <c r="Q123" s="59"/>
      <c r="R123"/>
    </row>
    <row r="124" spans="1:18">
      <c r="A124" s="62" t="s">
        <v>265</v>
      </c>
      <c r="B124" s="63">
        <v>45572</v>
      </c>
      <c r="C124" s="64" t="s">
        <v>236</v>
      </c>
      <c r="D124" s="64" t="s">
        <v>237</v>
      </c>
      <c r="E124" s="64" t="s">
        <v>54</v>
      </c>
      <c r="F124" s="64" t="s">
        <v>55</v>
      </c>
      <c r="G124" s="64" t="s">
        <v>21</v>
      </c>
      <c r="H124" s="65">
        <v>4</v>
      </c>
      <c r="I124" s="65">
        <v>149.99</v>
      </c>
      <c r="J124" s="64" t="s">
        <v>28</v>
      </c>
      <c r="K124" s="64" t="s">
        <v>42</v>
      </c>
      <c r="L124" s="64" t="s">
        <v>29</v>
      </c>
      <c r="M124" s="63">
        <v>45076</v>
      </c>
      <c r="N124" s="68">
        <v>599.96</v>
      </c>
      <c r="O124" s="71"/>
      <c r="Q124" s="59"/>
      <c r="R124"/>
    </row>
    <row r="125" spans="1:18">
      <c r="A125" s="62" t="s">
        <v>266</v>
      </c>
      <c r="B125" s="63">
        <v>45573</v>
      </c>
      <c r="C125" s="64" t="s">
        <v>213</v>
      </c>
      <c r="D125" s="64" t="s">
        <v>214</v>
      </c>
      <c r="E125" s="64" t="s">
        <v>82</v>
      </c>
      <c r="F125" s="64" t="s">
        <v>83</v>
      </c>
      <c r="G125" s="64" t="s">
        <v>21</v>
      </c>
      <c r="H125" s="65">
        <v>2</v>
      </c>
      <c r="I125" s="65">
        <v>699.99</v>
      </c>
      <c r="J125" s="64" t="s">
        <v>59</v>
      </c>
      <c r="K125" s="64" t="s">
        <v>65</v>
      </c>
      <c r="L125" s="64" t="s">
        <v>29</v>
      </c>
      <c r="M125" s="63">
        <v>45274</v>
      </c>
      <c r="N125" s="68">
        <v>1399.98</v>
      </c>
      <c r="O125" s="71"/>
      <c r="Q125" s="59"/>
      <c r="R125"/>
    </row>
    <row r="126" spans="1:18">
      <c r="A126" s="62" t="s">
        <v>267</v>
      </c>
      <c r="B126" s="63">
        <v>45573</v>
      </c>
      <c r="C126" s="64" t="s">
        <v>233</v>
      </c>
      <c r="D126" s="64" t="s">
        <v>234</v>
      </c>
      <c r="E126" s="64" t="s">
        <v>46</v>
      </c>
      <c r="F126" s="64" t="s">
        <v>47</v>
      </c>
      <c r="G126" s="64" t="s">
        <v>48</v>
      </c>
      <c r="H126" s="65">
        <v>3</v>
      </c>
      <c r="I126" s="65">
        <v>149.99</v>
      </c>
      <c r="J126" s="64" t="s">
        <v>28</v>
      </c>
      <c r="K126" s="64" t="s">
        <v>37</v>
      </c>
      <c r="L126" s="64" t="s">
        <v>38</v>
      </c>
      <c r="M126" s="63">
        <v>44940</v>
      </c>
      <c r="N126" s="68">
        <v>449.97</v>
      </c>
      <c r="O126" s="71"/>
      <c r="Q126" s="59"/>
      <c r="R126"/>
    </row>
    <row r="127" spans="1:18">
      <c r="A127" s="62" t="s">
        <v>268</v>
      </c>
      <c r="B127" s="63">
        <v>45576</v>
      </c>
      <c r="C127" s="64" t="s">
        <v>149</v>
      </c>
      <c r="D127" s="64" t="s">
        <v>150</v>
      </c>
      <c r="E127" s="64" t="s">
        <v>107</v>
      </c>
      <c r="F127" s="64" t="s">
        <v>108</v>
      </c>
      <c r="G127" s="64" t="s">
        <v>48</v>
      </c>
      <c r="H127" s="65">
        <v>3</v>
      </c>
      <c r="I127" s="65">
        <v>299.99</v>
      </c>
      <c r="J127" s="64" t="s">
        <v>28</v>
      </c>
      <c r="K127" s="64" t="s">
        <v>23</v>
      </c>
      <c r="L127" s="64" t="s">
        <v>38</v>
      </c>
      <c r="M127" s="63">
        <v>45174</v>
      </c>
      <c r="N127" s="68">
        <v>899.97</v>
      </c>
      <c r="O127" s="71"/>
      <c r="Q127" s="59"/>
      <c r="R127"/>
    </row>
    <row r="128" spans="1:18">
      <c r="A128" s="62" t="s">
        <v>269</v>
      </c>
      <c r="B128" s="63">
        <v>45579</v>
      </c>
      <c r="C128" s="64" t="s">
        <v>85</v>
      </c>
      <c r="D128" s="64" t="s">
        <v>86</v>
      </c>
      <c r="E128" s="64" t="s">
        <v>63</v>
      </c>
      <c r="F128" s="64" t="s">
        <v>64</v>
      </c>
      <c r="G128" s="64" t="s">
        <v>21</v>
      </c>
      <c r="H128" s="65">
        <v>3</v>
      </c>
      <c r="I128" s="65">
        <v>899.99</v>
      </c>
      <c r="J128" s="64" t="s">
        <v>36</v>
      </c>
      <c r="K128" s="64" t="s">
        <v>52</v>
      </c>
      <c r="L128" s="64" t="s">
        <v>24</v>
      </c>
      <c r="M128" s="63">
        <v>45215</v>
      </c>
      <c r="N128" s="68">
        <v>2699.97</v>
      </c>
      <c r="O128" s="71"/>
      <c r="Q128" s="59"/>
      <c r="R128"/>
    </row>
    <row r="129" spans="1:18">
      <c r="A129" s="62" t="s">
        <v>270</v>
      </c>
      <c r="B129" s="63">
        <v>45581</v>
      </c>
      <c r="C129" s="64" t="s">
        <v>98</v>
      </c>
      <c r="D129" s="64" t="s">
        <v>99</v>
      </c>
      <c r="E129" s="64" t="s">
        <v>82</v>
      </c>
      <c r="F129" s="64" t="s">
        <v>83</v>
      </c>
      <c r="G129" s="64" t="s">
        <v>21</v>
      </c>
      <c r="H129" s="65">
        <v>5</v>
      </c>
      <c r="I129" s="65">
        <v>699.99</v>
      </c>
      <c r="J129" s="64" t="s">
        <v>22</v>
      </c>
      <c r="K129" s="64" t="s">
        <v>65</v>
      </c>
      <c r="L129" s="64" t="s">
        <v>38</v>
      </c>
      <c r="M129" s="63">
        <v>45008</v>
      </c>
      <c r="N129" s="68">
        <v>3499.95</v>
      </c>
      <c r="O129" s="71"/>
      <c r="Q129" s="59"/>
      <c r="R129"/>
    </row>
    <row r="130" spans="1:18">
      <c r="A130" s="62" t="s">
        <v>271</v>
      </c>
      <c r="B130" s="63">
        <v>45581</v>
      </c>
      <c r="C130" s="64" t="s">
        <v>173</v>
      </c>
      <c r="D130" s="64" t="s">
        <v>174</v>
      </c>
      <c r="E130" s="64" t="s">
        <v>82</v>
      </c>
      <c r="F130" s="64" t="s">
        <v>83</v>
      </c>
      <c r="G130" s="64" t="s">
        <v>21</v>
      </c>
      <c r="H130" s="65">
        <v>4</v>
      </c>
      <c r="I130" s="65">
        <v>699.99</v>
      </c>
      <c r="J130" s="64" t="s">
        <v>28</v>
      </c>
      <c r="K130" s="64" t="s">
        <v>23</v>
      </c>
      <c r="L130" s="64" t="s">
        <v>24</v>
      </c>
      <c r="M130" s="63">
        <v>45385</v>
      </c>
      <c r="N130" s="68">
        <v>2799.96</v>
      </c>
      <c r="O130" s="71"/>
      <c r="Q130" s="59"/>
      <c r="R130"/>
    </row>
    <row r="131" spans="1:18">
      <c r="A131" s="62" t="s">
        <v>272</v>
      </c>
      <c r="B131" s="63">
        <v>45581</v>
      </c>
      <c r="C131" s="64" t="s">
        <v>152</v>
      </c>
      <c r="D131" s="64" t="s">
        <v>153</v>
      </c>
      <c r="E131" s="64" t="s">
        <v>63</v>
      </c>
      <c r="F131" s="64" t="s">
        <v>64</v>
      </c>
      <c r="G131" s="64" t="s">
        <v>21</v>
      </c>
      <c r="H131" s="65">
        <v>1</v>
      </c>
      <c r="I131" s="65">
        <v>899.99</v>
      </c>
      <c r="J131" s="64" t="s">
        <v>28</v>
      </c>
      <c r="K131" s="64" t="s">
        <v>65</v>
      </c>
      <c r="L131" s="64" t="s">
        <v>38</v>
      </c>
      <c r="M131" s="63">
        <v>45369</v>
      </c>
      <c r="N131" s="68">
        <v>899.99</v>
      </c>
      <c r="O131" s="71"/>
      <c r="Q131" s="59"/>
      <c r="R131"/>
    </row>
    <row r="132" spans="1:18">
      <c r="A132" s="62" t="s">
        <v>273</v>
      </c>
      <c r="B132" s="63">
        <v>45583</v>
      </c>
      <c r="C132" s="64" t="s">
        <v>228</v>
      </c>
      <c r="D132" s="64" t="s">
        <v>229</v>
      </c>
      <c r="E132" s="64" t="s">
        <v>54</v>
      </c>
      <c r="F132" s="64" t="s">
        <v>55</v>
      </c>
      <c r="G132" s="64" t="s">
        <v>21</v>
      </c>
      <c r="H132" s="65">
        <v>2</v>
      </c>
      <c r="I132" s="65">
        <v>149.99</v>
      </c>
      <c r="J132" s="64" t="s">
        <v>28</v>
      </c>
      <c r="K132" s="64" t="s">
        <v>52</v>
      </c>
      <c r="L132" s="64" t="s">
        <v>24</v>
      </c>
      <c r="M132" s="63">
        <v>44916</v>
      </c>
      <c r="N132" s="68">
        <v>299.98</v>
      </c>
      <c r="O132" s="71"/>
      <c r="Q132" s="59"/>
      <c r="R132"/>
    </row>
    <row r="133" spans="1:18">
      <c r="A133" s="62" t="s">
        <v>274</v>
      </c>
      <c r="B133" s="63">
        <v>45586</v>
      </c>
      <c r="C133" s="64" t="s">
        <v>228</v>
      </c>
      <c r="D133" s="64" t="s">
        <v>229</v>
      </c>
      <c r="E133" s="64" t="s">
        <v>119</v>
      </c>
      <c r="F133" s="64" t="s">
        <v>120</v>
      </c>
      <c r="G133" s="64" t="s">
        <v>21</v>
      </c>
      <c r="H133" s="65">
        <v>3</v>
      </c>
      <c r="I133" s="65">
        <v>89.99</v>
      </c>
      <c r="J133" s="64" t="s">
        <v>36</v>
      </c>
      <c r="K133" s="64" t="s">
        <v>23</v>
      </c>
      <c r="L133" s="64" t="s">
        <v>24</v>
      </c>
      <c r="M133" s="63">
        <v>44551</v>
      </c>
      <c r="N133" s="68">
        <v>269.97000000000003</v>
      </c>
      <c r="O133" s="71"/>
      <c r="Q133" s="59"/>
      <c r="R133"/>
    </row>
    <row r="134" spans="1:18">
      <c r="A134" s="62" t="s">
        <v>275</v>
      </c>
      <c r="B134" s="63">
        <v>45588</v>
      </c>
      <c r="C134" s="64" t="s">
        <v>40</v>
      </c>
      <c r="D134" s="64" t="s">
        <v>41</v>
      </c>
      <c r="E134" s="64" t="s">
        <v>54</v>
      </c>
      <c r="F134" s="64" t="s">
        <v>55</v>
      </c>
      <c r="G134" s="64" t="s">
        <v>21</v>
      </c>
      <c r="H134" s="65">
        <v>2</v>
      </c>
      <c r="I134" s="65">
        <v>149.99</v>
      </c>
      <c r="J134" s="64" t="s">
        <v>36</v>
      </c>
      <c r="K134" s="64" t="s">
        <v>23</v>
      </c>
      <c r="L134" s="64" t="s">
        <v>24</v>
      </c>
      <c r="M134" s="63">
        <v>44473</v>
      </c>
      <c r="N134" s="68">
        <v>299.98</v>
      </c>
      <c r="O134" s="71"/>
      <c r="Q134" s="59"/>
      <c r="R134"/>
    </row>
    <row r="135" spans="1:18">
      <c r="A135" s="62" t="s">
        <v>276</v>
      </c>
      <c r="B135" s="63">
        <v>45588</v>
      </c>
      <c r="C135" s="64" t="s">
        <v>156</v>
      </c>
      <c r="D135" s="64" t="s">
        <v>157</v>
      </c>
      <c r="E135" s="64" t="s">
        <v>82</v>
      </c>
      <c r="F135" s="64" t="s">
        <v>83</v>
      </c>
      <c r="G135" s="64" t="s">
        <v>21</v>
      </c>
      <c r="H135" s="65">
        <v>2</v>
      </c>
      <c r="I135" s="65">
        <v>699.99</v>
      </c>
      <c r="J135" s="64" t="s">
        <v>22</v>
      </c>
      <c r="K135" s="64" t="s">
        <v>23</v>
      </c>
      <c r="L135" s="64" t="s">
        <v>24</v>
      </c>
      <c r="M135" s="63">
        <v>44992</v>
      </c>
      <c r="N135" s="68">
        <v>1399.98</v>
      </c>
      <c r="O135" s="71"/>
      <c r="Q135" s="59"/>
      <c r="R135"/>
    </row>
    <row r="136" spans="1:18">
      <c r="A136" s="62" t="s">
        <v>277</v>
      </c>
      <c r="B136" s="63">
        <v>45589</v>
      </c>
      <c r="C136" s="64" t="s">
        <v>160</v>
      </c>
      <c r="D136" s="64" t="s">
        <v>161</v>
      </c>
      <c r="E136" s="64" t="s">
        <v>82</v>
      </c>
      <c r="F136" s="64" t="s">
        <v>83</v>
      </c>
      <c r="G136" s="64" t="s">
        <v>21</v>
      </c>
      <c r="H136" s="65">
        <v>5</v>
      </c>
      <c r="I136" s="65">
        <v>699.99</v>
      </c>
      <c r="J136" s="64" t="s">
        <v>22</v>
      </c>
      <c r="K136" s="64" t="s">
        <v>42</v>
      </c>
      <c r="L136" s="64" t="s">
        <v>29</v>
      </c>
      <c r="M136" s="63">
        <v>44635</v>
      </c>
      <c r="N136" s="68">
        <v>3499.95</v>
      </c>
      <c r="O136" s="71"/>
      <c r="Q136" s="59"/>
      <c r="R136"/>
    </row>
    <row r="137" spans="1:18">
      <c r="A137" s="62" t="s">
        <v>278</v>
      </c>
      <c r="B137" s="63">
        <v>45592</v>
      </c>
      <c r="C137" s="64" t="s">
        <v>173</v>
      </c>
      <c r="D137" s="64" t="s">
        <v>174</v>
      </c>
      <c r="E137" s="64" t="s">
        <v>119</v>
      </c>
      <c r="F137" s="64" t="s">
        <v>120</v>
      </c>
      <c r="G137" s="64" t="s">
        <v>21</v>
      </c>
      <c r="H137" s="65">
        <v>3</v>
      </c>
      <c r="I137" s="65">
        <v>89.99</v>
      </c>
      <c r="J137" s="64" t="s">
        <v>28</v>
      </c>
      <c r="K137" s="64" t="s">
        <v>42</v>
      </c>
      <c r="L137" s="64" t="s">
        <v>38</v>
      </c>
      <c r="M137" s="63">
        <v>44615</v>
      </c>
      <c r="N137" s="68">
        <v>269.97000000000003</v>
      </c>
      <c r="O137" s="71"/>
      <c r="Q137" s="59"/>
      <c r="R137"/>
    </row>
    <row r="138" spans="1:18">
      <c r="A138" s="62" t="s">
        <v>279</v>
      </c>
      <c r="B138" s="63">
        <v>45597</v>
      </c>
      <c r="C138" s="64" t="s">
        <v>17</v>
      </c>
      <c r="D138" s="64" t="s">
        <v>18</v>
      </c>
      <c r="E138" s="64" t="s">
        <v>19</v>
      </c>
      <c r="F138" s="64" t="s">
        <v>20</v>
      </c>
      <c r="G138" s="64" t="s">
        <v>21</v>
      </c>
      <c r="H138" s="65">
        <v>5</v>
      </c>
      <c r="I138" s="65">
        <v>249.99</v>
      </c>
      <c r="J138" s="64" t="s">
        <v>28</v>
      </c>
      <c r="K138" s="64" t="s">
        <v>37</v>
      </c>
      <c r="L138" s="64" t="s">
        <v>38</v>
      </c>
      <c r="M138" s="63">
        <v>44881</v>
      </c>
      <c r="N138" s="68">
        <v>1249.95</v>
      </c>
      <c r="O138" s="71"/>
      <c r="Q138" s="59"/>
      <c r="R138"/>
    </row>
    <row r="139" spans="1:18">
      <c r="A139" s="62" t="s">
        <v>280</v>
      </c>
      <c r="B139" s="63">
        <v>45600</v>
      </c>
      <c r="C139" s="64" t="s">
        <v>67</v>
      </c>
      <c r="D139" s="64" t="s">
        <v>68</v>
      </c>
      <c r="E139" s="64" t="s">
        <v>107</v>
      </c>
      <c r="F139" s="64" t="s">
        <v>108</v>
      </c>
      <c r="G139" s="64" t="s">
        <v>48</v>
      </c>
      <c r="H139" s="65">
        <v>3</v>
      </c>
      <c r="I139" s="65">
        <v>299.99</v>
      </c>
      <c r="J139" s="64" t="s">
        <v>28</v>
      </c>
      <c r="K139" s="64" t="s">
        <v>37</v>
      </c>
      <c r="L139" s="64" t="s">
        <v>38</v>
      </c>
      <c r="M139" s="63">
        <v>44502</v>
      </c>
      <c r="N139" s="68">
        <v>899.97</v>
      </c>
      <c r="O139" s="71"/>
      <c r="Q139" s="59"/>
      <c r="R139"/>
    </row>
    <row r="140" spans="1:18">
      <c r="A140" s="62" t="s">
        <v>281</v>
      </c>
      <c r="B140" s="63">
        <v>45603</v>
      </c>
      <c r="C140" s="64" t="s">
        <v>101</v>
      </c>
      <c r="D140" s="64" t="s">
        <v>102</v>
      </c>
      <c r="E140" s="64" t="s">
        <v>119</v>
      </c>
      <c r="F140" s="64" t="s">
        <v>120</v>
      </c>
      <c r="G140" s="64" t="s">
        <v>21</v>
      </c>
      <c r="H140" s="65">
        <v>3</v>
      </c>
      <c r="I140" s="65">
        <v>89.99</v>
      </c>
      <c r="J140" s="64" t="s">
        <v>28</v>
      </c>
      <c r="K140" s="64" t="s">
        <v>42</v>
      </c>
      <c r="L140" s="64" t="s">
        <v>29</v>
      </c>
      <c r="M140" s="63">
        <v>44420</v>
      </c>
      <c r="N140" s="68">
        <v>269.97000000000003</v>
      </c>
      <c r="O140" s="71"/>
      <c r="Q140" s="59"/>
      <c r="R140"/>
    </row>
    <row r="141" spans="1:18">
      <c r="A141" s="62" t="s">
        <v>282</v>
      </c>
      <c r="B141" s="63">
        <v>45604</v>
      </c>
      <c r="C141" s="64" t="s">
        <v>91</v>
      </c>
      <c r="D141" s="64" t="s">
        <v>92</v>
      </c>
      <c r="E141" s="64" t="s">
        <v>46</v>
      </c>
      <c r="F141" s="64" t="s">
        <v>47</v>
      </c>
      <c r="G141" s="64" t="s">
        <v>48</v>
      </c>
      <c r="H141" s="65">
        <v>2</v>
      </c>
      <c r="I141" s="65">
        <v>149.99</v>
      </c>
      <c r="J141" s="64" t="s">
        <v>28</v>
      </c>
      <c r="K141" s="64" t="s">
        <v>52</v>
      </c>
      <c r="L141" s="64" t="s">
        <v>29</v>
      </c>
      <c r="M141" s="63">
        <v>44848</v>
      </c>
      <c r="N141" s="68">
        <v>299.98</v>
      </c>
      <c r="O141" s="71"/>
      <c r="Q141" s="59"/>
      <c r="R141"/>
    </row>
    <row r="142" spans="1:18">
      <c r="A142" s="62" t="s">
        <v>283</v>
      </c>
      <c r="B142" s="63">
        <v>45605</v>
      </c>
      <c r="C142" s="64" t="s">
        <v>187</v>
      </c>
      <c r="D142" s="64" t="s">
        <v>188</v>
      </c>
      <c r="E142" s="64" t="s">
        <v>19</v>
      </c>
      <c r="F142" s="64" t="s">
        <v>20</v>
      </c>
      <c r="G142" s="64" t="s">
        <v>21</v>
      </c>
      <c r="H142" s="65">
        <v>1</v>
      </c>
      <c r="I142" s="65">
        <v>249.99</v>
      </c>
      <c r="J142" s="64" t="s">
        <v>28</v>
      </c>
      <c r="K142" s="64" t="s">
        <v>42</v>
      </c>
      <c r="L142" s="64" t="s">
        <v>29</v>
      </c>
      <c r="M142" s="63">
        <v>44828</v>
      </c>
      <c r="N142" s="68">
        <v>249.99</v>
      </c>
      <c r="O142" s="71"/>
      <c r="Q142" s="59"/>
      <c r="R142"/>
    </row>
    <row r="143" spans="1:18">
      <c r="A143" s="62" t="s">
        <v>284</v>
      </c>
      <c r="B143" s="63">
        <v>45607</v>
      </c>
      <c r="C143" s="64" t="s">
        <v>74</v>
      </c>
      <c r="D143" s="64" t="s">
        <v>75</v>
      </c>
      <c r="E143" s="64" t="s">
        <v>54</v>
      </c>
      <c r="F143" s="64" t="s">
        <v>55</v>
      </c>
      <c r="G143" s="64" t="s">
        <v>21</v>
      </c>
      <c r="H143" s="65">
        <v>3</v>
      </c>
      <c r="I143" s="65">
        <v>149.99</v>
      </c>
      <c r="J143" s="64" t="s">
        <v>22</v>
      </c>
      <c r="K143" s="64" t="s">
        <v>42</v>
      </c>
      <c r="L143" s="64" t="s">
        <v>24</v>
      </c>
      <c r="M143" s="63">
        <v>44769</v>
      </c>
      <c r="N143" s="68">
        <v>449.97</v>
      </c>
      <c r="O143" s="71"/>
      <c r="Q143" s="59"/>
      <c r="R143"/>
    </row>
    <row r="144" spans="1:18">
      <c r="A144" s="62" t="s">
        <v>285</v>
      </c>
      <c r="B144" s="63">
        <v>45607</v>
      </c>
      <c r="C144" s="64" t="s">
        <v>17</v>
      </c>
      <c r="D144" s="64" t="s">
        <v>18</v>
      </c>
      <c r="E144" s="64" t="s">
        <v>33</v>
      </c>
      <c r="F144" s="64" t="s">
        <v>34</v>
      </c>
      <c r="G144" s="64" t="s">
        <v>35</v>
      </c>
      <c r="H144" s="65">
        <v>5</v>
      </c>
      <c r="I144" s="65">
        <v>59.99</v>
      </c>
      <c r="J144" s="64" t="s">
        <v>36</v>
      </c>
      <c r="K144" s="64" t="s">
        <v>52</v>
      </c>
      <c r="L144" s="64" t="s">
        <v>29</v>
      </c>
      <c r="M144" s="63">
        <v>44694</v>
      </c>
      <c r="N144" s="68">
        <v>299.95</v>
      </c>
      <c r="O144" s="71"/>
      <c r="Q144" s="59"/>
      <c r="R144"/>
    </row>
    <row r="145" spans="1:18">
      <c r="A145" s="62" t="s">
        <v>286</v>
      </c>
      <c r="B145" s="63">
        <v>45607</v>
      </c>
      <c r="C145" s="64" t="s">
        <v>101</v>
      </c>
      <c r="D145" s="64" t="s">
        <v>102</v>
      </c>
      <c r="E145" s="64" t="s">
        <v>19</v>
      </c>
      <c r="F145" s="64" t="s">
        <v>20</v>
      </c>
      <c r="G145" s="64" t="s">
        <v>21</v>
      </c>
      <c r="H145" s="65">
        <v>4</v>
      </c>
      <c r="I145" s="65">
        <v>249.99</v>
      </c>
      <c r="J145" s="64" t="s">
        <v>28</v>
      </c>
      <c r="K145" s="64" t="s">
        <v>52</v>
      </c>
      <c r="L145" s="64" t="s">
        <v>38</v>
      </c>
      <c r="M145" s="63">
        <v>44659</v>
      </c>
      <c r="N145" s="68">
        <v>999.96</v>
      </c>
      <c r="O145" s="71"/>
      <c r="Q145" s="59"/>
      <c r="R145"/>
    </row>
    <row r="146" spans="1:18">
      <c r="A146" s="62" t="s">
        <v>287</v>
      </c>
      <c r="B146" s="63">
        <v>45608</v>
      </c>
      <c r="C146" s="64" t="s">
        <v>156</v>
      </c>
      <c r="D146" s="64" t="s">
        <v>157</v>
      </c>
      <c r="E146" s="64" t="s">
        <v>46</v>
      </c>
      <c r="F146" s="64" t="s">
        <v>47</v>
      </c>
      <c r="G146" s="64" t="s">
        <v>48</v>
      </c>
      <c r="H146" s="65">
        <v>5</v>
      </c>
      <c r="I146" s="65">
        <v>149.99</v>
      </c>
      <c r="J146" s="64" t="s">
        <v>36</v>
      </c>
      <c r="K146" s="64" t="s">
        <v>23</v>
      </c>
      <c r="L146" s="64" t="s">
        <v>24</v>
      </c>
      <c r="M146" s="63">
        <v>44901</v>
      </c>
      <c r="N146" s="68">
        <v>749.95</v>
      </c>
      <c r="O146" s="71"/>
      <c r="Q146" s="59"/>
      <c r="R146"/>
    </row>
    <row r="147" spans="1:18">
      <c r="A147" s="62" t="s">
        <v>288</v>
      </c>
      <c r="B147" s="63">
        <v>45608</v>
      </c>
      <c r="C147" s="64" t="s">
        <v>85</v>
      </c>
      <c r="D147" s="64" t="s">
        <v>86</v>
      </c>
      <c r="E147" s="64" t="s">
        <v>33</v>
      </c>
      <c r="F147" s="64" t="s">
        <v>34</v>
      </c>
      <c r="G147" s="64" t="s">
        <v>35</v>
      </c>
      <c r="H147" s="65">
        <v>3</v>
      </c>
      <c r="I147" s="65">
        <v>59.99</v>
      </c>
      <c r="J147" s="64" t="s">
        <v>59</v>
      </c>
      <c r="K147" s="64" t="s">
        <v>37</v>
      </c>
      <c r="L147" s="64" t="s">
        <v>38</v>
      </c>
      <c r="M147" s="63">
        <v>45260</v>
      </c>
      <c r="N147" s="68">
        <v>179.97</v>
      </c>
      <c r="O147" s="71"/>
      <c r="Q147" s="59"/>
      <c r="R147"/>
    </row>
    <row r="148" spans="1:18">
      <c r="A148" s="62" t="s">
        <v>289</v>
      </c>
      <c r="B148" s="63">
        <v>45613</v>
      </c>
      <c r="C148" s="64" t="s">
        <v>236</v>
      </c>
      <c r="D148" s="64" t="s">
        <v>237</v>
      </c>
      <c r="E148" s="64" t="s">
        <v>46</v>
      </c>
      <c r="F148" s="64" t="s">
        <v>47</v>
      </c>
      <c r="G148" s="64" t="s">
        <v>48</v>
      </c>
      <c r="H148" s="65">
        <v>5</v>
      </c>
      <c r="I148" s="65">
        <v>149.99</v>
      </c>
      <c r="J148" s="64" t="s">
        <v>22</v>
      </c>
      <c r="K148" s="64" t="s">
        <v>42</v>
      </c>
      <c r="L148" s="64" t="s">
        <v>24</v>
      </c>
      <c r="M148" s="63">
        <v>44869</v>
      </c>
      <c r="N148" s="68">
        <v>749.95</v>
      </c>
      <c r="O148" s="71"/>
      <c r="Q148" s="59"/>
      <c r="R148"/>
    </row>
    <row r="149" spans="1:18">
      <c r="A149" s="62" t="s">
        <v>290</v>
      </c>
      <c r="B149" s="63">
        <v>45613</v>
      </c>
      <c r="C149" s="64" t="s">
        <v>88</v>
      </c>
      <c r="D149" s="64" t="s">
        <v>89</v>
      </c>
      <c r="E149" s="64" t="s">
        <v>82</v>
      </c>
      <c r="F149" s="64" t="s">
        <v>83</v>
      </c>
      <c r="G149" s="64" t="s">
        <v>21</v>
      </c>
      <c r="H149" s="65">
        <v>2</v>
      </c>
      <c r="I149" s="65">
        <v>699.99</v>
      </c>
      <c r="J149" s="64" t="s">
        <v>36</v>
      </c>
      <c r="K149" s="64" t="s">
        <v>52</v>
      </c>
      <c r="L149" s="64" t="s">
        <v>38</v>
      </c>
      <c r="M149" s="63">
        <v>44770</v>
      </c>
      <c r="N149" s="68">
        <v>1399.98</v>
      </c>
      <c r="O149" s="71"/>
      <c r="Q149" s="59"/>
      <c r="R149"/>
    </row>
    <row r="150" spans="1:18">
      <c r="A150" s="62" t="s">
        <v>291</v>
      </c>
      <c r="B150" s="63">
        <v>45617</v>
      </c>
      <c r="C150" s="64" t="s">
        <v>125</v>
      </c>
      <c r="D150" s="64" t="s">
        <v>126</v>
      </c>
      <c r="E150" s="64" t="s">
        <v>128</v>
      </c>
      <c r="F150" s="64" t="s">
        <v>129</v>
      </c>
      <c r="G150" s="64" t="s">
        <v>48</v>
      </c>
      <c r="H150" s="65">
        <v>4</v>
      </c>
      <c r="I150" s="65">
        <v>199.99</v>
      </c>
      <c r="J150" s="64" t="s">
        <v>59</v>
      </c>
      <c r="K150" s="64" t="s">
        <v>23</v>
      </c>
      <c r="L150" s="64" t="s">
        <v>29</v>
      </c>
      <c r="M150" s="63">
        <v>44427</v>
      </c>
      <c r="N150" s="68">
        <v>799.96</v>
      </c>
      <c r="O150" s="71"/>
      <c r="Q150" s="59"/>
      <c r="R150"/>
    </row>
    <row r="151" spans="1:18">
      <c r="A151" s="62" t="s">
        <v>292</v>
      </c>
      <c r="B151" s="63">
        <v>45619</v>
      </c>
      <c r="C151" s="64" t="s">
        <v>194</v>
      </c>
      <c r="D151" s="64" t="s">
        <v>195</v>
      </c>
      <c r="E151" s="64" t="s">
        <v>33</v>
      </c>
      <c r="F151" s="64" t="s">
        <v>34</v>
      </c>
      <c r="G151" s="64" t="s">
        <v>35</v>
      </c>
      <c r="H151" s="65">
        <v>1</v>
      </c>
      <c r="I151" s="65">
        <v>59.99</v>
      </c>
      <c r="J151" s="64" t="s">
        <v>59</v>
      </c>
      <c r="K151" s="64" t="s">
        <v>52</v>
      </c>
      <c r="L151" s="64" t="s">
        <v>38</v>
      </c>
      <c r="M151" s="63">
        <v>44560</v>
      </c>
      <c r="N151" s="68">
        <v>59.99</v>
      </c>
      <c r="O151" s="71"/>
      <c r="Q151" s="59"/>
      <c r="R151"/>
    </row>
    <row r="152" spans="1:18">
      <c r="A152" s="62" t="s">
        <v>293</v>
      </c>
      <c r="B152" s="63">
        <v>45619</v>
      </c>
      <c r="C152" s="64" t="s">
        <v>156</v>
      </c>
      <c r="D152" s="64" t="s">
        <v>157</v>
      </c>
      <c r="E152" s="64" t="s">
        <v>82</v>
      </c>
      <c r="F152" s="64" t="s">
        <v>83</v>
      </c>
      <c r="G152" s="64" t="s">
        <v>21</v>
      </c>
      <c r="H152" s="65">
        <v>3</v>
      </c>
      <c r="I152" s="65">
        <v>699.99</v>
      </c>
      <c r="J152" s="64" t="s">
        <v>36</v>
      </c>
      <c r="K152" s="64" t="s">
        <v>52</v>
      </c>
      <c r="L152" s="64" t="s">
        <v>38</v>
      </c>
      <c r="M152" s="63">
        <v>44583</v>
      </c>
      <c r="N152" s="68">
        <v>2099.9699999999998</v>
      </c>
      <c r="O152" s="71"/>
      <c r="Q152" s="59"/>
      <c r="R152"/>
    </row>
    <row r="153" spans="1:18">
      <c r="A153" s="62" t="s">
        <v>294</v>
      </c>
      <c r="B153" s="63">
        <v>45622</v>
      </c>
      <c r="C153" s="64" t="s">
        <v>295</v>
      </c>
      <c r="D153" s="64" t="s">
        <v>296</v>
      </c>
      <c r="E153" s="64" t="s">
        <v>19</v>
      </c>
      <c r="F153" s="64" t="s">
        <v>20</v>
      </c>
      <c r="G153" s="64" t="s">
        <v>21</v>
      </c>
      <c r="H153" s="65">
        <v>5</v>
      </c>
      <c r="I153" s="65">
        <v>249.99</v>
      </c>
      <c r="J153" s="64" t="s">
        <v>28</v>
      </c>
      <c r="K153" s="64" t="s">
        <v>42</v>
      </c>
      <c r="L153" s="64" t="s">
        <v>24</v>
      </c>
      <c r="M153" s="63">
        <v>44873</v>
      </c>
      <c r="N153" s="68">
        <v>1249.95</v>
      </c>
      <c r="O153" s="71"/>
      <c r="Q153" s="59"/>
      <c r="R153"/>
    </row>
    <row r="154" spans="1:18">
      <c r="A154" s="62" t="s">
        <v>297</v>
      </c>
      <c r="B154" s="63">
        <v>45623</v>
      </c>
      <c r="C154" s="64" t="s">
        <v>114</v>
      </c>
      <c r="D154" s="64" t="s">
        <v>115</v>
      </c>
      <c r="E154" s="64" t="s">
        <v>46</v>
      </c>
      <c r="F154" s="64" t="s">
        <v>47</v>
      </c>
      <c r="G154" s="64" t="s">
        <v>48</v>
      </c>
      <c r="H154" s="65">
        <v>2</v>
      </c>
      <c r="I154" s="65">
        <v>149.99</v>
      </c>
      <c r="J154" s="64" t="s">
        <v>22</v>
      </c>
      <c r="K154" s="64" t="s">
        <v>37</v>
      </c>
      <c r="L154" s="64" t="s">
        <v>38</v>
      </c>
      <c r="M154" s="63">
        <v>45101</v>
      </c>
      <c r="N154" s="68">
        <v>299.98</v>
      </c>
      <c r="O154" s="71"/>
      <c r="Q154" s="59"/>
      <c r="R154"/>
    </row>
    <row r="155" spans="1:18">
      <c r="A155" s="62" t="s">
        <v>298</v>
      </c>
      <c r="B155" s="63">
        <v>45627</v>
      </c>
      <c r="C155" s="64" t="s">
        <v>31</v>
      </c>
      <c r="D155" s="64" t="s">
        <v>32</v>
      </c>
      <c r="E155" s="64" t="s">
        <v>107</v>
      </c>
      <c r="F155" s="64" t="s">
        <v>108</v>
      </c>
      <c r="G155" s="64" t="s">
        <v>48</v>
      </c>
      <c r="H155" s="65">
        <v>3</v>
      </c>
      <c r="I155" s="65">
        <v>299.99</v>
      </c>
      <c r="J155" s="64" t="s">
        <v>22</v>
      </c>
      <c r="K155" s="64" t="s">
        <v>37</v>
      </c>
      <c r="L155" s="64" t="s">
        <v>29</v>
      </c>
      <c r="M155" s="63">
        <v>44659</v>
      </c>
      <c r="N155" s="68">
        <v>899.97</v>
      </c>
      <c r="O155" s="71"/>
      <c r="Q155" s="59"/>
      <c r="R155"/>
    </row>
    <row r="156" spans="1:18">
      <c r="A156" s="62" t="s">
        <v>299</v>
      </c>
      <c r="B156" s="63">
        <v>45627</v>
      </c>
      <c r="C156" s="64" t="s">
        <v>57</v>
      </c>
      <c r="D156" s="64" t="s">
        <v>58</v>
      </c>
      <c r="E156" s="64" t="s">
        <v>19</v>
      </c>
      <c r="F156" s="64" t="s">
        <v>20</v>
      </c>
      <c r="G156" s="64" t="s">
        <v>21</v>
      </c>
      <c r="H156" s="65">
        <v>5</v>
      </c>
      <c r="I156" s="65">
        <v>249.99</v>
      </c>
      <c r="J156" s="64" t="s">
        <v>22</v>
      </c>
      <c r="K156" s="64" t="s">
        <v>23</v>
      </c>
      <c r="L156" s="64" t="s">
        <v>29</v>
      </c>
      <c r="M156" s="63">
        <v>44485</v>
      </c>
      <c r="N156" s="68">
        <v>1249.95</v>
      </c>
      <c r="O156" s="71"/>
      <c r="Q156" s="59"/>
      <c r="R156"/>
    </row>
    <row r="157" spans="1:18">
      <c r="A157" s="62" t="s">
        <v>300</v>
      </c>
      <c r="B157" s="63">
        <v>45627</v>
      </c>
      <c r="C157" s="64" t="s">
        <v>26</v>
      </c>
      <c r="D157" s="64" t="s">
        <v>27</v>
      </c>
      <c r="E157" s="64" t="s">
        <v>54</v>
      </c>
      <c r="F157" s="64" t="s">
        <v>55</v>
      </c>
      <c r="G157" s="64" t="s">
        <v>21</v>
      </c>
      <c r="H157" s="65">
        <v>2</v>
      </c>
      <c r="I157" s="65">
        <v>149.99</v>
      </c>
      <c r="J157" s="64" t="s">
        <v>22</v>
      </c>
      <c r="K157" s="64" t="s">
        <v>37</v>
      </c>
      <c r="L157" s="64" t="s">
        <v>29</v>
      </c>
      <c r="M157" s="63">
        <v>44475</v>
      </c>
      <c r="N157" s="68">
        <v>299.98</v>
      </c>
      <c r="O157" s="71"/>
      <c r="Q157" s="59"/>
      <c r="R157"/>
    </row>
    <row r="158" spans="1:18">
      <c r="A158" s="62" t="s">
        <v>301</v>
      </c>
      <c r="B158" s="63">
        <v>45627</v>
      </c>
      <c r="C158" s="64" t="s">
        <v>88</v>
      </c>
      <c r="D158" s="64" t="s">
        <v>89</v>
      </c>
      <c r="E158" s="64" t="s">
        <v>82</v>
      </c>
      <c r="F158" s="64" t="s">
        <v>83</v>
      </c>
      <c r="G158" s="64" t="s">
        <v>21</v>
      </c>
      <c r="H158" s="65">
        <v>5</v>
      </c>
      <c r="I158" s="65">
        <v>699.99</v>
      </c>
      <c r="J158" s="64" t="s">
        <v>59</v>
      </c>
      <c r="K158" s="64" t="s">
        <v>52</v>
      </c>
      <c r="L158" s="64" t="s">
        <v>38</v>
      </c>
      <c r="M158" s="63">
        <v>44944</v>
      </c>
      <c r="N158" s="68">
        <v>3499.95</v>
      </c>
      <c r="O158" s="71"/>
      <c r="Q158" s="59"/>
      <c r="R158"/>
    </row>
    <row r="159" spans="1:18">
      <c r="A159" s="62" t="s">
        <v>302</v>
      </c>
      <c r="B159" s="63">
        <v>45629</v>
      </c>
      <c r="C159" s="64" t="s">
        <v>254</v>
      </c>
      <c r="D159" s="64" t="s">
        <v>255</v>
      </c>
      <c r="E159" s="64" t="s">
        <v>19</v>
      </c>
      <c r="F159" s="64" t="s">
        <v>20</v>
      </c>
      <c r="G159" s="64" t="s">
        <v>21</v>
      </c>
      <c r="H159" s="65">
        <v>4</v>
      </c>
      <c r="I159" s="65">
        <v>249.99</v>
      </c>
      <c r="J159" s="64" t="s">
        <v>36</v>
      </c>
      <c r="K159" s="64" t="s">
        <v>65</v>
      </c>
      <c r="L159" s="64" t="s">
        <v>29</v>
      </c>
      <c r="M159" s="63">
        <v>45098</v>
      </c>
      <c r="N159" s="68">
        <v>999.96</v>
      </c>
      <c r="O159" s="71"/>
      <c r="Q159" s="59"/>
      <c r="R159"/>
    </row>
    <row r="160" spans="1:18">
      <c r="A160" s="62" t="s">
        <v>303</v>
      </c>
      <c r="B160" s="63">
        <v>45630</v>
      </c>
      <c r="C160" s="64" t="s">
        <v>50</v>
      </c>
      <c r="D160" s="64" t="s">
        <v>51</v>
      </c>
      <c r="E160" s="64" t="s">
        <v>82</v>
      </c>
      <c r="F160" s="64" t="s">
        <v>83</v>
      </c>
      <c r="G160" s="64" t="s">
        <v>21</v>
      </c>
      <c r="H160" s="65">
        <v>4</v>
      </c>
      <c r="I160" s="65">
        <v>699.99</v>
      </c>
      <c r="J160" s="64" t="s">
        <v>28</v>
      </c>
      <c r="K160" s="64" t="s">
        <v>42</v>
      </c>
      <c r="L160" s="64" t="s">
        <v>29</v>
      </c>
      <c r="M160" s="63">
        <v>44703</v>
      </c>
      <c r="N160" s="68">
        <v>2799.96</v>
      </c>
      <c r="O160" s="71"/>
      <c r="Q160" s="59"/>
      <c r="R160"/>
    </row>
    <row r="161" spans="1:18">
      <c r="A161" s="62" t="s">
        <v>304</v>
      </c>
      <c r="B161" s="63">
        <v>45635</v>
      </c>
      <c r="C161" s="64" t="s">
        <v>110</v>
      </c>
      <c r="D161" s="64" t="s">
        <v>111</v>
      </c>
      <c r="E161" s="64" t="s">
        <v>19</v>
      </c>
      <c r="F161" s="64" t="s">
        <v>20</v>
      </c>
      <c r="G161" s="64" t="s">
        <v>21</v>
      </c>
      <c r="H161" s="65">
        <v>2</v>
      </c>
      <c r="I161" s="65">
        <v>249.99</v>
      </c>
      <c r="J161" s="64" t="s">
        <v>28</v>
      </c>
      <c r="K161" s="64" t="s">
        <v>23</v>
      </c>
      <c r="L161" s="64" t="s">
        <v>29</v>
      </c>
      <c r="M161" s="63">
        <v>44396</v>
      </c>
      <c r="N161" s="68">
        <v>499.98</v>
      </c>
      <c r="O161" s="71"/>
      <c r="Q161" s="59"/>
      <c r="R161"/>
    </row>
    <row r="162" spans="1:18">
      <c r="A162" s="62" t="s">
        <v>305</v>
      </c>
      <c r="B162" s="63">
        <v>45635</v>
      </c>
      <c r="C162" s="64" t="s">
        <v>306</v>
      </c>
      <c r="D162" s="64" t="s">
        <v>307</v>
      </c>
      <c r="E162" s="64" t="s">
        <v>33</v>
      </c>
      <c r="F162" s="64" t="s">
        <v>34</v>
      </c>
      <c r="G162" s="64" t="s">
        <v>35</v>
      </c>
      <c r="H162" s="65">
        <v>3</v>
      </c>
      <c r="I162" s="65">
        <v>59.99</v>
      </c>
      <c r="J162" s="64" t="s">
        <v>22</v>
      </c>
      <c r="K162" s="64" t="s">
        <v>23</v>
      </c>
      <c r="L162" s="64" t="s">
        <v>29</v>
      </c>
      <c r="M162" s="63">
        <v>45052</v>
      </c>
      <c r="N162" s="68">
        <v>179.97</v>
      </c>
      <c r="O162" s="71"/>
      <c r="Q162" s="59"/>
      <c r="R162"/>
    </row>
    <row r="163" spans="1:18">
      <c r="A163" s="62" t="s">
        <v>308</v>
      </c>
      <c r="B163" s="63">
        <v>45635</v>
      </c>
      <c r="C163" s="64" t="s">
        <v>143</v>
      </c>
      <c r="D163" s="64" t="s">
        <v>144</v>
      </c>
      <c r="E163" s="64" t="s">
        <v>116</v>
      </c>
      <c r="F163" s="64" t="s">
        <v>117</v>
      </c>
      <c r="G163" s="64" t="s">
        <v>35</v>
      </c>
      <c r="H163" s="65">
        <v>4</v>
      </c>
      <c r="I163" s="65">
        <v>79.989999999999995</v>
      </c>
      <c r="J163" s="64" t="s">
        <v>59</v>
      </c>
      <c r="K163" s="64" t="s">
        <v>65</v>
      </c>
      <c r="L163" s="64" t="s">
        <v>38</v>
      </c>
      <c r="M163" s="63">
        <v>44921</v>
      </c>
      <c r="N163" s="68">
        <v>319.95999999999998</v>
      </c>
      <c r="O163" s="71"/>
      <c r="Q163" s="59"/>
      <c r="R163"/>
    </row>
    <row r="164" spans="1:18">
      <c r="A164" s="62" t="s">
        <v>309</v>
      </c>
      <c r="B164" s="63">
        <v>45636</v>
      </c>
      <c r="C164" s="64" t="s">
        <v>122</v>
      </c>
      <c r="D164" s="64" t="s">
        <v>123</v>
      </c>
      <c r="E164" s="64" t="s">
        <v>116</v>
      </c>
      <c r="F164" s="64" t="s">
        <v>117</v>
      </c>
      <c r="G164" s="64" t="s">
        <v>35</v>
      </c>
      <c r="H164" s="65">
        <v>3</v>
      </c>
      <c r="I164" s="65">
        <v>79.989999999999995</v>
      </c>
      <c r="J164" s="64" t="s">
        <v>59</v>
      </c>
      <c r="K164" s="64" t="s">
        <v>65</v>
      </c>
      <c r="L164" s="64" t="s">
        <v>38</v>
      </c>
      <c r="M164" s="63">
        <v>44779</v>
      </c>
      <c r="N164" s="68">
        <v>239.97</v>
      </c>
      <c r="O164" s="71"/>
      <c r="Q164" s="59"/>
      <c r="R164"/>
    </row>
    <row r="165" spans="1:18">
      <c r="A165" s="62" t="s">
        <v>310</v>
      </c>
      <c r="B165" s="63">
        <v>45638</v>
      </c>
      <c r="C165" s="64" t="s">
        <v>74</v>
      </c>
      <c r="D165" s="64" t="s">
        <v>75</v>
      </c>
      <c r="E165" s="64" t="s">
        <v>63</v>
      </c>
      <c r="F165" s="64" t="s">
        <v>64</v>
      </c>
      <c r="G165" s="64" t="s">
        <v>21</v>
      </c>
      <c r="H165" s="65">
        <v>2</v>
      </c>
      <c r="I165" s="65">
        <v>899.99</v>
      </c>
      <c r="J165" s="64" t="s">
        <v>22</v>
      </c>
      <c r="K165" s="64" t="s">
        <v>42</v>
      </c>
      <c r="L165" s="64" t="s">
        <v>24</v>
      </c>
      <c r="M165" s="63">
        <v>44406</v>
      </c>
      <c r="N165" s="68">
        <v>1799.98</v>
      </c>
      <c r="O165" s="71"/>
      <c r="Q165" s="59"/>
      <c r="R165"/>
    </row>
    <row r="166" spans="1:18">
      <c r="A166" s="62" t="s">
        <v>311</v>
      </c>
      <c r="B166" s="63">
        <v>45641</v>
      </c>
      <c r="C166" s="64" t="s">
        <v>184</v>
      </c>
      <c r="D166" s="64" t="s">
        <v>185</v>
      </c>
      <c r="E166" s="64" t="s">
        <v>46</v>
      </c>
      <c r="F166" s="64" t="s">
        <v>47</v>
      </c>
      <c r="G166" s="64" t="s">
        <v>48</v>
      </c>
      <c r="H166" s="65">
        <v>1</v>
      </c>
      <c r="I166" s="65">
        <v>149.99</v>
      </c>
      <c r="J166" s="64" t="s">
        <v>59</v>
      </c>
      <c r="K166" s="64" t="s">
        <v>65</v>
      </c>
      <c r="L166" s="64" t="s">
        <v>38</v>
      </c>
      <c r="M166" s="63">
        <v>45200</v>
      </c>
      <c r="N166" s="68">
        <v>149.99</v>
      </c>
      <c r="O166" s="71"/>
      <c r="Q166" s="59"/>
      <c r="R166"/>
    </row>
    <row r="167" spans="1:18">
      <c r="A167" s="62" t="s">
        <v>312</v>
      </c>
      <c r="B167" s="63">
        <v>45641</v>
      </c>
      <c r="C167" s="64" t="s">
        <v>140</v>
      </c>
      <c r="D167" s="64" t="s">
        <v>141</v>
      </c>
      <c r="E167" s="64" t="s">
        <v>107</v>
      </c>
      <c r="F167" s="64" t="s">
        <v>108</v>
      </c>
      <c r="G167" s="64" t="s">
        <v>48</v>
      </c>
      <c r="H167" s="65">
        <v>2</v>
      </c>
      <c r="I167" s="65">
        <v>299.99</v>
      </c>
      <c r="J167" s="64" t="s">
        <v>22</v>
      </c>
      <c r="K167" s="64" t="s">
        <v>65</v>
      </c>
      <c r="L167" s="64" t="s">
        <v>29</v>
      </c>
      <c r="M167" s="63">
        <v>44724</v>
      </c>
      <c r="N167" s="68">
        <v>599.98</v>
      </c>
      <c r="O167" s="71"/>
      <c r="Q167" s="59"/>
      <c r="R167"/>
    </row>
    <row r="168" spans="1:18">
      <c r="A168" s="62" t="s">
        <v>313</v>
      </c>
      <c r="B168" s="63">
        <v>45644</v>
      </c>
      <c r="C168" s="64" t="s">
        <v>134</v>
      </c>
      <c r="D168" s="64" t="s">
        <v>135</v>
      </c>
      <c r="E168" s="64" t="s">
        <v>33</v>
      </c>
      <c r="F168" s="64" t="s">
        <v>34</v>
      </c>
      <c r="G168" s="64" t="s">
        <v>35</v>
      </c>
      <c r="H168" s="65">
        <v>2</v>
      </c>
      <c r="I168" s="65">
        <v>59.99</v>
      </c>
      <c r="J168" s="64" t="s">
        <v>22</v>
      </c>
      <c r="K168" s="64" t="s">
        <v>52</v>
      </c>
      <c r="L168" s="64" t="s">
        <v>24</v>
      </c>
      <c r="M168" s="63">
        <v>45191</v>
      </c>
      <c r="N168" s="68">
        <v>119.98</v>
      </c>
      <c r="O168" s="71"/>
      <c r="Q168" s="59"/>
      <c r="R168"/>
    </row>
    <row r="169" spans="1:18">
      <c r="A169" s="62" t="s">
        <v>314</v>
      </c>
      <c r="B169" s="63">
        <v>45645</v>
      </c>
      <c r="C169" s="64" t="s">
        <v>184</v>
      </c>
      <c r="D169" s="64" t="s">
        <v>185</v>
      </c>
      <c r="E169" s="64" t="s">
        <v>119</v>
      </c>
      <c r="F169" s="64" t="s">
        <v>120</v>
      </c>
      <c r="G169" s="64" t="s">
        <v>21</v>
      </c>
      <c r="H169" s="65">
        <v>1</v>
      </c>
      <c r="I169" s="65">
        <v>89.99</v>
      </c>
      <c r="J169" s="64" t="s">
        <v>59</v>
      </c>
      <c r="K169" s="64" t="s">
        <v>23</v>
      </c>
      <c r="L169" s="64" t="s">
        <v>38</v>
      </c>
      <c r="M169" s="63">
        <v>44760</v>
      </c>
      <c r="N169" s="68">
        <v>89.99</v>
      </c>
      <c r="O169" s="71"/>
      <c r="Q169" s="59"/>
      <c r="R169"/>
    </row>
    <row r="170" spans="1:18">
      <c r="A170" s="62" t="s">
        <v>315</v>
      </c>
      <c r="B170" s="63">
        <v>45645</v>
      </c>
      <c r="C170" s="64" t="s">
        <v>149</v>
      </c>
      <c r="D170" s="64" t="s">
        <v>150</v>
      </c>
      <c r="E170" s="64" t="s">
        <v>63</v>
      </c>
      <c r="F170" s="64" t="s">
        <v>64</v>
      </c>
      <c r="G170" s="64" t="s">
        <v>21</v>
      </c>
      <c r="H170" s="65">
        <v>5</v>
      </c>
      <c r="I170" s="65">
        <v>899.99</v>
      </c>
      <c r="J170" s="64" t="s">
        <v>59</v>
      </c>
      <c r="K170" s="64" t="s">
        <v>65</v>
      </c>
      <c r="L170" s="64" t="s">
        <v>38</v>
      </c>
      <c r="M170" s="63">
        <v>44625</v>
      </c>
      <c r="N170" s="68">
        <v>4499.95</v>
      </c>
      <c r="O170" s="71"/>
      <c r="Q170" s="59"/>
      <c r="R170"/>
    </row>
    <row r="171" spans="1:18">
      <c r="A171" s="62" t="s">
        <v>316</v>
      </c>
      <c r="B171" s="63">
        <v>45646</v>
      </c>
      <c r="C171" s="64" t="s">
        <v>44</v>
      </c>
      <c r="D171" s="64" t="s">
        <v>45</v>
      </c>
      <c r="E171" s="64" t="s">
        <v>46</v>
      </c>
      <c r="F171" s="64" t="s">
        <v>47</v>
      </c>
      <c r="G171" s="64" t="s">
        <v>48</v>
      </c>
      <c r="H171" s="65">
        <v>2</v>
      </c>
      <c r="I171" s="65">
        <v>149.99</v>
      </c>
      <c r="J171" s="64" t="s">
        <v>22</v>
      </c>
      <c r="K171" s="64" t="s">
        <v>37</v>
      </c>
      <c r="L171" s="64" t="s">
        <v>24</v>
      </c>
      <c r="M171" s="63">
        <v>45239</v>
      </c>
      <c r="N171" s="68">
        <v>299.98</v>
      </c>
      <c r="O171" s="71"/>
      <c r="Q171" s="59"/>
      <c r="R171"/>
    </row>
    <row r="172" spans="1:18">
      <c r="A172" s="62" t="s">
        <v>317</v>
      </c>
      <c r="B172" s="63">
        <v>45648</v>
      </c>
      <c r="C172" s="64" t="s">
        <v>114</v>
      </c>
      <c r="D172" s="64" t="s">
        <v>115</v>
      </c>
      <c r="E172" s="64" t="s">
        <v>54</v>
      </c>
      <c r="F172" s="64" t="s">
        <v>55</v>
      </c>
      <c r="G172" s="64" t="s">
        <v>21</v>
      </c>
      <c r="H172" s="65">
        <v>2</v>
      </c>
      <c r="I172" s="65">
        <v>149.99</v>
      </c>
      <c r="J172" s="64" t="s">
        <v>59</v>
      </c>
      <c r="K172" s="64" t="s">
        <v>52</v>
      </c>
      <c r="L172" s="64" t="s">
        <v>29</v>
      </c>
      <c r="M172" s="63">
        <v>45280</v>
      </c>
      <c r="N172" s="68">
        <v>299.98</v>
      </c>
      <c r="O172" s="71"/>
      <c r="Q172" s="59"/>
      <c r="R172"/>
    </row>
    <row r="173" spans="1:18">
      <c r="A173" s="62" t="s">
        <v>318</v>
      </c>
      <c r="B173" s="63">
        <v>45648</v>
      </c>
      <c r="C173" s="64" t="s">
        <v>184</v>
      </c>
      <c r="D173" s="64" t="s">
        <v>185</v>
      </c>
      <c r="E173" s="64" t="s">
        <v>46</v>
      </c>
      <c r="F173" s="64" t="s">
        <v>47</v>
      </c>
      <c r="G173" s="64" t="s">
        <v>48</v>
      </c>
      <c r="H173" s="65">
        <v>3</v>
      </c>
      <c r="I173" s="65">
        <v>149.99</v>
      </c>
      <c r="J173" s="64" t="s">
        <v>59</v>
      </c>
      <c r="K173" s="64" t="s">
        <v>42</v>
      </c>
      <c r="L173" s="64" t="s">
        <v>38</v>
      </c>
      <c r="M173" s="63">
        <v>44522</v>
      </c>
      <c r="N173" s="68">
        <v>449.97</v>
      </c>
      <c r="O173" s="71"/>
      <c r="Q173" s="59"/>
      <c r="R173"/>
    </row>
    <row r="174" spans="1:18">
      <c r="A174" s="62" t="s">
        <v>319</v>
      </c>
      <c r="B174" s="63">
        <v>45649</v>
      </c>
      <c r="C174" s="64" t="s">
        <v>31</v>
      </c>
      <c r="D174" s="64" t="s">
        <v>32</v>
      </c>
      <c r="E174" s="64" t="s">
        <v>107</v>
      </c>
      <c r="F174" s="64" t="s">
        <v>108</v>
      </c>
      <c r="G174" s="64" t="s">
        <v>48</v>
      </c>
      <c r="H174" s="65">
        <v>2</v>
      </c>
      <c r="I174" s="65">
        <v>299.99</v>
      </c>
      <c r="J174" s="64" t="s">
        <v>36</v>
      </c>
      <c r="K174" s="64" t="s">
        <v>37</v>
      </c>
      <c r="L174" s="64" t="s">
        <v>24</v>
      </c>
      <c r="M174" s="63">
        <v>44721</v>
      </c>
      <c r="N174" s="68">
        <v>599.98</v>
      </c>
      <c r="O174" s="71"/>
      <c r="Q174" s="59"/>
      <c r="R174"/>
    </row>
    <row r="175" spans="1:18">
      <c r="A175" s="62" t="s">
        <v>320</v>
      </c>
      <c r="B175" s="63">
        <v>45654</v>
      </c>
      <c r="C175" s="64" t="s">
        <v>44</v>
      </c>
      <c r="D175" s="64" t="s">
        <v>45</v>
      </c>
      <c r="E175" s="64" t="s">
        <v>107</v>
      </c>
      <c r="F175" s="64" t="s">
        <v>108</v>
      </c>
      <c r="G175" s="64" t="s">
        <v>48</v>
      </c>
      <c r="H175" s="65">
        <v>2</v>
      </c>
      <c r="I175" s="65">
        <v>299.99</v>
      </c>
      <c r="J175" s="64" t="s">
        <v>22</v>
      </c>
      <c r="K175" s="64" t="s">
        <v>52</v>
      </c>
      <c r="L175" s="64" t="s">
        <v>24</v>
      </c>
      <c r="M175" s="63">
        <v>44771</v>
      </c>
      <c r="N175" s="68">
        <v>599.98</v>
      </c>
      <c r="O175" s="71"/>
      <c r="Q175" s="59"/>
      <c r="R175"/>
    </row>
    <row r="176" spans="1:18">
      <c r="A176" s="62" t="s">
        <v>321</v>
      </c>
      <c r="B176" s="63">
        <v>45654</v>
      </c>
      <c r="C176" s="64" t="s">
        <v>122</v>
      </c>
      <c r="D176" s="64" t="s">
        <v>123</v>
      </c>
      <c r="E176" s="64" t="s">
        <v>128</v>
      </c>
      <c r="F176" s="64" t="s">
        <v>129</v>
      </c>
      <c r="G176" s="64" t="s">
        <v>48</v>
      </c>
      <c r="H176" s="65">
        <v>4</v>
      </c>
      <c r="I176" s="65">
        <v>199.99</v>
      </c>
      <c r="J176" s="64" t="s">
        <v>28</v>
      </c>
      <c r="K176" s="64" t="s">
        <v>23</v>
      </c>
      <c r="L176" s="64" t="s">
        <v>24</v>
      </c>
      <c r="M176" s="63">
        <v>44523</v>
      </c>
      <c r="N176" s="68">
        <v>799.96</v>
      </c>
      <c r="O176" s="71"/>
      <c r="Q176" s="59"/>
      <c r="R176"/>
    </row>
    <row r="177" spans="1:18">
      <c r="A177" s="62" t="s">
        <v>322</v>
      </c>
      <c r="B177" s="63">
        <v>45655</v>
      </c>
      <c r="C177" s="64" t="s">
        <v>61</v>
      </c>
      <c r="D177" s="64" t="s">
        <v>62</v>
      </c>
      <c r="E177" s="64" t="s">
        <v>119</v>
      </c>
      <c r="F177" s="64" t="s">
        <v>120</v>
      </c>
      <c r="G177" s="64" t="s">
        <v>21</v>
      </c>
      <c r="H177" s="65">
        <v>1</v>
      </c>
      <c r="I177" s="65">
        <v>89.99</v>
      </c>
      <c r="J177" s="64" t="s">
        <v>28</v>
      </c>
      <c r="K177" s="64" t="s">
        <v>37</v>
      </c>
      <c r="L177" s="64" t="s">
        <v>29</v>
      </c>
      <c r="M177" s="63">
        <v>44591</v>
      </c>
      <c r="N177" s="68">
        <v>89.99</v>
      </c>
      <c r="O177" s="71"/>
      <c r="Q177" s="59"/>
      <c r="R177"/>
    </row>
    <row r="178" spans="1:18">
      <c r="A178" s="62" t="s">
        <v>323</v>
      </c>
      <c r="B178" s="63">
        <v>45655</v>
      </c>
      <c r="C178" s="64" t="s">
        <v>110</v>
      </c>
      <c r="D178" s="64" t="s">
        <v>111</v>
      </c>
      <c r="E178" s="64" t="s">
        <v>46</v>
      </c>
      <c r="F178" s="64" t="s">
        <v>47</v>
      </c>
      <c r="G178" s="64" t="s">
        <v>48</v>
      </c>
      <c r="H178" s="65">
        <v>5</v>
      </c>
      <c r="I178" s="65">
        <v>149.99</v>
      </c>
      <c r="J178" s="64" t="s">
        <v>22</v>
      </c>
      <c r="K178" s="64" t="s">
        <v>23</v>
      </c>
      <c r="L178" s="64" t="s">
        <v>29</v>
      </c>
      <c r="M178" s="63">
        <v>45347</v>
      </c>
      <c r="N178" s="68">
        <v>749.95</v>
      </c>
      <c r="O178" s="71"/>
      <c r="Q178" s="59"/>
      <c r="R178"/>
    </row>
    <row r="179" spans="1:18">
      <c r="A179" s="62" t="s">
        <v>324</v>
      </c>
      <c r="B179" s="63">
        <v>45657</v>
      </c>
      <c r="C179" s="64" t="s">
        <v>88</v>
      </c>
      <c r="D179" s="64" t="s">
        <v>89</v>
      </c>
      <c r="E179" s="64" t="s">
        <v>63</v>
      </c>
      <c r="F179" s="64" t="s">
        <v>64</v>
      </c>
      <c r="G179" s="64" t="s">
        <v>21</v>
      </c>
      <c r="H179" s="65">
        <v>1</v>
      </c>
      <c r="I179" s="65">
        <v>899.99</v>
      </c>
      <c r="J179" s="64" t="s">
        <v>36</v>
      </c>
      <c r="K179" s="64" t="s">
        <v>42</v>
      </c>
      <c r="L179" s="64" t="s">
        <v>29</v>
      </c>
      <c r="M179" s="63">
        <v>45050</v>
      </c>
      <c r="N179" s="68">
        <v>899.99</v>
      </c>
      <c r="O179" s="71"/>
      <c r="Q179" s="59"/>
      <c r="R179"/>
    </row>
    <row r="180" spans="1:18">
      <c r="A180" s="62" t="s">
        <v>325</v>
      </c>
      <c r="B180" s="63">
        <v>45660</v>
      </c>
      <c r="C180" s="64" t="s">
        <v>149</v>
      </c>
      <c r="D180" s="64" t="s">
        <v>150</v>
      </c>
      <c r="E180" s="64" t="s">
        <v>119</v>
      </c>
      <c r="F180" s="64" t="s">
        <v>120</v>
      </c>
      <c r="G180" s="64" t="s">
        <v>21</v>
      </c>
      <c r="H180" s="65">
        <v>2</v>
      </c>
      <c r="I180" s="65">
        <v>89.99</v>
      </c>
      <c r="J180" s="64" t="s">
        <v>28</v>
      </c>
      <c r="K180" s="64" t="s">
        <v>37</v>
      </c>
      <c r="L180" s="64" t="s">
        <v>29</v>
      </c>
      <c r="M180" s="63">
        <v>44564</v>
      </c>
      <c r="N180" s="68">
        <v>179.98</v>
      </c>
      <c r="O180" s="71"/>
      <c r="Q180" s="59"/>
      <c r="R180"/>
    </row>
    <row r="181" spans="1:18">
      <c r="A181" s="62" t="s">
        <v>326</v>
      </c>
      <c r="B181" s="63">
        <v>45661</v>
      </c>
      <c r="C181" s="64" t="s">
        <v>327</v>
      </c>
      <c r="D181" s="64" t="s">
        <v>328</v>
      </c>
      <c r="E181" s="64" t="s">
        <v>63</v>
      </c>
      <c r="F181" s="64" t="s">
        <v>64</v>
      </c>
      <c r="G181" s="64" t="s">
        <v>21</v>
      </c>
      <c r="H181" s="65">
        <v>1</v>
      </c>
      <c r="I181" s="65">
        <v>899.99</v>
      </c>
      <c r="J181" s="64" t="s">
        <v>36</v>
      </c>
      <c r="K181" s="64" t="s">
        <v>42</v>
      </c>
      <c r="L181" s="64" t="s">
        <v>38</v>
      </c>
      <c r="M181" s="63">
        <v>44752</v>
      </c>
      <c r="N181" s="68">
        <v>899.99</v>
      </c>
      <c r="O181" s="71"/>
      <c r="Q181" s="59"/>
      <c r="R181"/>
    </row>
    <row r="182" spans="1:18">
      <c r="A182" s="62" t="s">
        <v>329</v>
      </c>
      <c r="B182" s="63">
        <v>45663</v>
      </c>
      <c r="C182" s="64" t="s">
        <v>131</v>
      </c>
      <c r="D182" s="64" t="s">
        <v>132</v>
      </c>
      <c r="E182" s="64" t="s">
        <v>54</v>
      </c>
      <c r="F182" s="64" t="s">
        <v>55</v>
      </c>
      <c r="G182" s="64" t="s">
        <v>21</v>
      </c>
      <c r="H182" s="65">
        <v>5</v>
      </c>
      <c r="I182" s="65">
        <v>149.99</v>
      </c>
      <c r="J182" s="64" t="s">
        <v>36</v>
      </c>
      <c r="K182" s="64" t="s">
        <v>65</v>
      </c>
      <c r="L182" s="64" t="s">
        <v>29</v>
      </c>
      <c r="M182" s="63">
        <v>44824</v>
      </c>
      <c r="N182" s="68">
        <v>749.95</v>
      </c>
      <c r="O182" s="71"/>
      <c r="Q182" s="59"/>
      <c r="R182"/>
    </row>
    <row r="183" spans="1:18">
      <c r="A183" s="62" t="s">
        <v>330</v>
      </c>
      <c r="B183" s="63">
        <v>45663</v>
      </c>
      <c r="C183" s="64" t="s">
        <v>44</v>
      </c>
      <c r="D183" s="64" t="s">
        <v>45</v>
      </c>
      <c r="E183" s="64" t="s">
        <v>107</v>
      </c>
      <c r="F183" s="64" t="s">
        <v>108</v>
      </c>
      <c r="G183" s="64" t="s">
        <v>48</v>
      </c>
      <c r="H183" s="65">
        <v>3</v>
      </c>
      <c r="I183" s="65">
        <v>299.99</v>
      </c>
      <c r="J183" s="64" t="s">
        <v>22</v>
      </c>
      <c r="K183" s="64" t="s">
        <v>37</v>
      </c>
      <c r="L183" s="64" t="s">
        <v>38</v>
      </c>
      <c r="M183" s="63">
        <v>44422</v>
      </c>
      <c r="N183" s="68">
        <v>899.97</v>
      </c>
      <c r="O183" s="71"/>
      <c r="Q183" s="59"/>
      <c r="R183"/>
    </row>
    <row r="184" spans="1:18">
      <c r="A184" s="62" t="s">
        <v>331</v>
      </c>
      <c r="B184" s="63">
        <v>45666</v>
      </c>
      <c r="C184" s="64" t="s">
        <v>67</v>
      </c>
      <c r="D184" s="64" t="s">
        <v>68</v>
      </c>
      <c r="E184" s="64" t="s">
        <v>82</v>
      </c>
      <c r="F184" s="64" t="s">
        <v>83</v>
      </c>
      <c r="G184" s="64" t="s">
        <v>21</v>
      </c>
      <c r="H184" s="65">
        <v>3</v>
      </c>
      <c r="I184" s="65">
        <v>699.99</v>
      </c>
      <c r="J184" s="64" t="s">
        <v>28</v>
      </c>
      <c r="K184" s="64" t="s">
        <v>23</v>
      </c>
      <c r="L184" s="64" t="s">
        <v>29</v>
      </c>
      <c r="M184" s="63">
        <v>45105</v>
      </c>
      <c r="N184" s="68">
        <v>2099.9699999999998</v>
      </c>
      <c r="O184" s="71"/>
      <c r="Q184" s="59"/>
      <c r="R184"/>
    </row>
    <row r="185" spans="1:18">
      <c r="A185" s="62" t="s">
        <v>332</v>
      </c>
      <c r="B185" s="63">
        <v>45667</v>
      </c>
      <c r="C185" s="64" t="s">
        <v>110</v>
      </c>
      <c r="D185" s="64" t="s">
        <v>111</v>
      </c>
      <c r="E185" s="64" t="s">
        <v>128</v>
      </c>
      <c r="F185" s="64" t="s">
        <v>129</v>
      </c>
      <c r="G185" s="64" t="s">
        <v>48</v>
      </c>
      <c r="H185" s="65">
        <v>5</v>
      </c>
      <c r="I185" s="65">
        <v>199.99</v>
      </c>
      <c r="J185" s="64" t="s">
        <v>36</v>
      </c>
      <c r="K185" s="64" t="s">
        <v>23</v>
      </c>
      <c r="L185" s="64" t="s">
        <v>38</v>
      </c>
      <c r="M185" s="63">
        <v>44633</v>
      </c>
      <c r="N185" s="68">
        <v>999.95</v>
      </c>
      <c r="O185" s="71"/>
      <c r="Q185" s="59"/>
      <c r="R185"/>
    </row>
    <row r="186" spans="1:18">
      <c r="A186" s="62" t="s">
        <v>333</v>
      </c>
      <c r="B186" s="63">
        <v>45667</v>
      </c>
      <c r="C186" s="64" t="s">
        <v>95</v>
      </c>
      <c r="D186" s="64" t="s">
        <v>96</v>
      </c>
      <c r="E186" s="64" t="s">
        <v>19</v>
      </c>
      <c r="F186" s="64" t="s">
        <v>20</v>
      </c>
      <c r="G186" s="64" t="s">
        <v>21</v>
      </c>
      <c r="H186" s="65">
        <v>5</v>
      </c>
      <c r="I186" s="65">
        <v>249.99</v>
      </c>
      <c r="J186" s="64" t="s">
        <v>28</v>
      </c>
      <c r="K186" s="64" t="s">
        <v>37</v>
      </c>
      <c r="L186" s="64" t="s">
        <v>24</v>
      </c>
      <c r="M186" s="63">
        <v>45330</v>
      </c>
      <c r="N186" s="68">
        <v>1249.95</v>
      </c>
      <c r="O186" s="71"/>
      <c r="Q186" s="59"/>
      <c r="R186"/>
    </row>
    <row r="187" spans="1:18">
      <c r="A187" s="62" t="s">
        <v>334</v>
      </c>
      <c r="B187" s="63">
        <v>45668</v>
      </c>
      <c r="C187" s="64" t="s">
        <v>140</v>
      </c>
      <c r="D187" s="64" t="s">
        <v>141</v>
      </c>
      <c r="E187" s="64" t="s">
        <v>54</v>
      </c>
      <c r="F187" s="64" t="s">
        <v>55</v>
      </c>
      <c r="G187" s="64" t="s">
        <v>21</v>
      </c>
      <c r="H187" s="65">
        <v>4</v>
      </c>
      <c r="I187" s="65">
        <v>149.99</v>
      </c>
      <c r="J187" s="64" t="s">
        <v>59</v>
      </c>
      <c r="K187" s="64" t="s">
        <v>65</v>
      </c>
      <c r="L187" s="64" t="s">
        <v>38</v>
      </c>
      <c r="M187" s="63">
        <v>44536</v>
      </c>
      <c r="N187" s="68">
        <v>599.96</v>
      </c>
      <c r="O187" s="71"/>
      <c r="Q187" s="59"/>
      <c r="R187"/>
    </row>
    <row r="188" spans="1:18">
      <c r="A188" s="62" t="s">
        <v>335</v>
      </c>
      <c r="B188" s="63">
        <v>45668</v>
      </c>
      <c r="C188" s="64" t="s">
        <v>80</v>
      </c>
      <c r="D188" s="64" t="s">
        <v>81</v>
      </c>
      <c r="E188" s="64" t="s">
        <v>82</v>
      </c>
      <c r="F188" s="64" t="s">
        <v>83</v>
      </c>
      <c r="G188" s="64" t="s">
        <v>21</v>
      </c>
      <c r="H188" s="65">
        <v>3</v>
      </c>
      <c r="I188" s="65">
        <v>699.99</v>
      </c>
      <c r="J188" s="64" t="s">
        <v>22</v>
      </c>
      <c r="K188" s="64" t="s">
        <v>42</v>
      </c>
      <c r="L188" s="64" t="s">
        <v>29</v>
      </c>
      <c r="M188" s="63">
        <v>44602</v>
      </c>
      <c r="N188" s="68">
        <v>2099.9699999999998</v>
      </c>
      <c r="O188" s="71"/>
      <c r="Q188" s="59"/>
      <c r="R188"/>
    </row>
    <row r="189" spans="1:18">
      <c r="A189" s="62" t="s">
        <v>336</v>
      </c>
      <c r="B189" s="63">
        <v>45670</v>
      </c>
      <c r="C189" s="64" t="s">
        <v>295</v>
      </c>
      <c r="D189" s="64" t="s">
        <v>296</v>
      </c>
      <c r="E189" s="64" t="s">
        <v>116</v>
      </c>
      <c r="F189" s="64" t="s">
        <v>117</v>
      </c>
      <c r="G189" s="64" t="s">
        <v>35</v>
      </c>
      <c r="H189" s="65">
        <v>1</v>
      </c>
      <c r="I189" s="65">
        <v>79.989999999999995</v>
      </c>
      <c r="J189" s="64" t="s">
        <v>28</v>
      </c>
      <c r="K189" s="64" t="s">
        <v>37</v>
      </c>
      <c r="L189" s="64" t="s">
        <v>24</v>
      </c>
      <c r="M189" s="63">
        <v>45322</v>
      </c>
      <c r="N189" s="68">
        <v>79.989999999999995</v>
      </c>
      <c r="O189" s="71"/>
      <c r="Q189" s="59"/>
      <c r="R189"/>
    </row>
    <row r="190" spans="1:18">
      <c r="A190" s="62" t="s">
        <v>337</v>
      </c>
      <c r="B190" s="63">
        <v>45670</v>
      </c>
      <c r="C190" s="64" t="s">
        <v>88</v>
      </c>
      <c r="D190" s="64" t="s">
        <v>89</v>
      </c>
      <c r="E190" s="64" t="s">
        <v>107</v>
      </c>
      <c r="F190" s="64" t="s">
        <v>108</v>
      </c>
      <c r="G190" s="64" t="s">
        <v>48</v>
      </c>
      <c r="H190" s="65">
        <v>1</v>
      </c>
      <c r="I190" s="65">
        <v>299.99</v>
      </c>
      <c r="J190" s="64" t="s">
        <v>28</v>
      </c>
      <c r="K190" s="64" t="s">
        <v>42</v>
      </c>
      <c r="L190" s="64" t="s">
        <v>24</v>
      </c>
      <c r="M190" s="63">
        <v>44436</v>
      </c>
      <c r="N190" s="68">
        <v>299.99</v>
      </c>
      <c r="O190" s="71"/>
      <c r="Q190" s="59"/>
      <c r="R190"/>
    </row>
    <row r="191" spans="1:18">
      <c r="A191" s="62" t="s">
        <v>338</v>
      </c>
      <c r="B191" s="63">
        <v>45671</v>
      </c>
      <c r="C191" s="64" t="s">
        <v>160</v>
      </c>
      <c r="D191" s="64" t="s">
        <v>161</v>
      </c>
      <c r="E191" s="64" t="s">
        <v>19</v>
      </c>
      <c r="F191" s="64" t="s">
        <v>20</v>
      </c>
      <c r="G191" s="64" t="s">
        <v>21</v>
      </c>
      <c r="H191" s="65">
        <v>4</v>
      </c>
      <c r="I191" s="65">
        <v>249.99</v>
      </c>
      <c r="J191" s="64" t="s">
        <v>28</v>
      </c>
      <c r="K191" s="64" t="s">
        <v>42</v>
      </c>
      <c r="L191" s="64" t="s">
        <v>29</v>
      </c>
      <c r="M191" s="63">
        <v>44460</v>
      </c>
      <c r="N191" s="68">
        <v>999.96</v>
      </c>
      <c r="O191" s="71"/>
      <c r="Q191" s="59"/>
      <c r="R191"/>
    </row>
    <row r="192" spans="1:18">
      <c r="A192" s="62" t="s">
        <v>339</v>
      </c>
      <c r="B192" s="63">
        <v>45671</v>
      </c>
      <c r="C192" s="64" t="s">
        <v>122</v>
      </c>
      <c r="D192" s="64" t="s">
        <v>123</v>
      </c>
      <c r="E192" s="64" t="s">
        <v>54</v>
      </c>
      <c r="F192" s="64" t="s">
        <v>55</v>
      </c>
      <c r="G192" s="64" t="s">
        <v>21</v>
      </c>
      <c r="H192" s="65">
        <v>2</v>
      </c>
      <c r="I192" s="65">
        <v>149.99</v>
      </c>
      <c r="J192" s="64" t="s">
        <v>22</v>
      </c>
      <c r="K192" s="64" t="s">
        <v>42</v>
      </c>
      <c r="L192" s="64" t="s">
        <v>38</v>
      </c>
      <c r="M192" s="63">
        <v>44913</v>
      </c>
      <c r="N192" s="68">
        <v>299.98</v>
      </c>
      <c r="O192" s="71"/>
      <c r="Q192" s="59"/>
      <c r="R192"/>
    </row>
    <row r="193" spans="1:18">
      <c r="A193" s="62" t="s">
        <v>340</v>
      </c>
      <c r="B193" s="63">
        <v>45671</v>
      </c>
      <c r="C193" s="64" t="s">
        <v>236</v>
      </c>
      <c r="D193" s="64" t="s">
        <v>237</v>
      </c>
      <c r="E193" s="64" t="s">
        <v>107</v>
      </c>
      <c r="F193" s="64" t="s">
        <v>108</v>
      </c>
      <c r="G193" s="64" t="s">
        <v>48</v>
      </c>
      <c r="H193" s="65">
        <v>3</v>
      </c>
      <c r="I193" s="65">
        <v>299.99</v>
      </c>
      <c r="J193" s="64" t="s">
        <v>28</v>
      </c>
      <c r="K193" s="64" t="s">
        <v>37</v>
      </c>
      <c r="L193" s="64" t="s">
        <v>24</v>
      </c>
      <c r="M193" s="63">
        <v>45204</v>
      </c>
      <c r="N193" s="68">
        <v>899.97</v>
      </c>
      <c r="O193" s="71"/>
      <c r="Q193" s="59"/>
      <c r="R193"/>
    </row>
    <row r="194" spans="1:18">
      <c r="A194" s="62" t="s">
        <v>341</v>
      </c>
      <c r="B194" s="63">
        <v>45673</v>
      </c>
      <c r="C194" s="64" t="s">
        <v>228</v>
      </c>
      <c r="D194" s="64" t="s">
        <v>229</v>
      </c>
      <c r="E194" s="64" t="s">
        <v>128</v>
      </c>
      <c r="F194" s="64" t="s">
        <v>129</v>
      </c>
      <c r="G194" s="64" t="s">
        <v>48</v>
      </c>
      <c r="H194" s="65">
        <v>4</v>
      </c>
      <c r="I194" s="65">
        <v>199.99</v>
      </c>
      <c r="J194" s="64" t="s">
        <v>59</v>
      </c>
      <c r="K194" s="64" t="s">
        <v>37</v>
      </c>
      <c r="L194" s="64" t="s">
        <v>38</v>
      </c>
      <c r="M194" s="63">
        <v>44544</v>
      </c>
      <c r="N194" s="68">
        <v>799.96</v>
      </c>
      <c r="O194" s="71"/>
      <c r="Q194" s="59"/>
      <c r="R194"/>
    </row>
    <row r="195" spans="1:18">
      <c r="A195" s="62" t="s">
        <v>342</v>
      </c>
      <c r="B195" s="63">
        <v>45673</v>
      </c>
      <c r="C195" s="64" t="s">
        <v>213</v>
      </c>
      <c r="D195" s="64" t="s">
        <v>214</v>
      </c>
      <c r="E195" s="64" t="s">
        <v>107</v>
      </c>
      <c r="F195" s="64" t="s">
        <v>108</v>
      </c>
      <c r="G195" s="64" t="s">
        <v>48</v>
      </c>
      <c r="H195" s="65">
        <v>5</v>
      </c>
      <c r="I195" s="65">
        <v>299.99</v>
      </c>
      <c r="J195" s="64" t="s">
        <v>59</v>
      </c>
      <c r="K195" s="64" t="s">
        <v>23</v>
      </c>
      <c r="L195" s="64" t="s">
        <v>24</v>
      </c>
      <c r="M195" s="63">
        <v>44431</v>
      </c>
      <c r="N195" s="68">
        <v>1499.95</v>
      </c>
      <c r="O195" s="71"/>
      <c r="Q195" s="59"/>
      <c r="R195"/>
    </row>
    <row r="196" spans="1:18">
      <c r="A196" s="62" t="s">
        <v>343</v>
      </c>
      <c r="B196" s="63">
        <v>45673</v>
      </c>
      <c r="C196" s="64" t="s">
        <v>61</v>
      </c>
      <c r="D196" s="64" t="s">
        <v>62</v>
      </c>
      <c r="E196" s="64" t="s">
        <v>46</v>
      </c>
      <c r="F196" s="64" t="s">
        <v>47</v>
      </c>
      <c r="G196" s="64" t="s">
        <v>48</v>
      </c>
      <c r="H196" s="65">
        <v>3</v>
      </c>
      <c r="I196" s="65">
        <v>149.99</v>
      </c>
      <c r="J196" s="64" t="s">
        <v>28</v>
      </c>
      <c r="K196" s="64" t="s">
        <v>65</v>
      </c>
      <c r="L196" s="64" t="s">
        <v>38</v>
      </c>
      <c r="M196" s="63">
        <v>44395</v>
      </c>
      <c r="N196" s="68">
        <v>449.97</v>
      </c>
      <c r="O196" s="71"/>
      <c r="Q196" s="59"/>
      <c r="R196"/>
    </row>
    <row r="197" spans="1:18">
      <c r="A197" s="62" t="s">
        <v>344</v>
      </c>
      <c r="B197" s="63">
        <v>45676</v>
      </c>
      <c r="C197" s="64" t="s">
        <v>131</v>
      </c>
      <c r="D197" s="64" t="s">
        <v>132</v>
      </c>
      <c r="E197" s="64" t="s">
        <v>33</v>
      </c>
      <c r="F197" s="64" t="s">
        <v>34</v>
      </c>
      <c r="G197" s="64" t="s">
        <v>35</v>
      </c>
      <c r="H197" s="65">
        <v>5</v>
      </c>
      <c r="I197" s="65">
        <v>59.99</v>
      </c>
      <c r="J197" s="64" t="s">
        <v>59</v>
      </c>
      <c r="K197" s="64" t="s">
        <v>65</v>
      </c>
      <c r="L197" s="64" t="s">
        <v>24</v>
      </c>
      <c r="M197" s="63">
        <v>44642</v>
      </c>
      <c r="N197" s="68">
        <v>299.95</v>
      </c>
      <c r="O197" s="71"/>
      <c r="Q197" s="59"/>
      <c r="R197"/>
    </row>
    <row r="198" spans="1:18">
      <c r="A198" s="62" t="s">
        <v>345</v>
      </c>
      <c r="B198" s="63">
        <v>45682</v>
      </c>
      <c r="C198" s="64" t="s">
        <v>70</v>
      </c>
      <c r="D198" s="64" t="s">
        <v>71</v>
      </c>
      <c r="E198" s="64" t="s">
        <v>33</v>
      </c>
      <c r="F198" s="64" t="s">
        <v>34</v>
      </c>
      <c r="G198" s="64" t="s">
        <v>35</v>
      </c>
      <c r="H198" s="65">
        <v>4</v>
      </c>
      <c r="I198" s="65">
        <v>59.99</v>
      </c>
      <c r="J198" s="64" t="s">
        <v>59</v>
      </c>
      <c r="K198" s="64" t="s">
        <v>65</v>
      </c>
      <c r="L198" s="64" t="s">
        <v>38</v>
      </c>
      <c r="M198" s="63">
        <v>44564</v>
      </c>
      <c r="N198" s="68">
        <v>239.96</v>
      </c>
      <c r="O198" s="71"/>
      <c r="Q198" s="59"/>
      <c r="R198"/>
    </row>
    <row r="199" spans="1:18">
      <c r="A199" s="62" t="s">
        <v>346</v>
      </c>
      <c r="B199" s="63">
        <v>45683</v>
      </c>
      <c r="C199" s="64" t="s">
        <v>50</v>
      </c>
      <c r="D199" s="64" t="s">
        <v>51</v>
      </c>
      <c r="E199" s="64" t="s">
        <v>19</v>
      </c>
      <c r="F199" s="64" t="s">
        <v>20</v>
      </c>
      <c r="G199" s="64" t="s">
        <v>21</v>
      </c>
      <c r="H199" s="65">
        <v>4</v>
      </c>
      <c r="I199" s="65">
        <v>249.99</v>
      </c>
      <c r="J199" s="64" t="s">
        <v>59</v>
      </c>
      <c r="K199" s="64" t="s">
        <v>23</v>
      </c>
      <c r="L199" s="64" t="s">
        <v>29</v>
      </c>
      <c r="M199" s="63">
        <v>45217</v>
      </c>
      <c r="N199" s="68">
        <v>999.96</v>
      </c>
      <c r="O199" s="71"/>
      <c r="Q199" s="59"/>
      <c r="R199"/>
    </row>
    <row r="200" spans="1:18">
      <c r="A200" s="62" t="s">
        <v>347</v>
      </c>
      <c r="B200" s="63">
        <v>45686</v>
      </c>
      <c r="C200" s="64" t="s">
        <v>254</v>
      </c>
      <c r="D200" s="64" t="s">
        <v>255</v>
      </c>
      <c r="E200" s="64" t="s">
        <v>63</v>
      </c>
      <c r="F200" s="64" t="s">
        <v>64</v>
      </c>
      <c r="G200" s="64" t="s">
        <v>21</v>
      </c>
      <c r="H200" s="65">
        <v>4</v>
      </c>
      <c r="I200" s="65">
        <v>899.99</v>
      </c>
      <c r="J200" s="64" t="s">
        <v>36</v>
      </c>
      <c r="K200" s="64" t="s">
        <v>23</v>
      </c>
      <c r="L200" s="64" t="s">
        <v>24</v>
      </c>
      <c r="M200" s="63">
        <v>44734</v>
      </c>
      <c r="N200" s="68">
        <v>3599.96</v>
      </c>
      <c r="O200" s="71"/>
      <c r="Q200" s="59"/>
      <c r="R200"/>
    </row>
    <row r="201" spans="1:18">
      <c r="A201" s="62" t="s">
        <v>348</v>
      </c>
      <c r="B201" s="63">
        <v>45686</v>
      </c>
      <c r="C201" s="64" t="s">
        <v>88</v>
      </c>
      <c r="D201" s="64" t="s">
        <v>89</v>
      </c>
      <c r="E201" s="64" t="s">
        <v>107</v>
      </c>
      <c r="F201" s="64" t="s">
        <v>108</v>
      </c>
      <c r="G201" s="64" t="s">
        <v>48</v>
      </c>
      <c r="H201" s="65">
        <v>3</v>
      </c>
      <c r="I201" s="65">
        <v>299.99</v>
      </c>
      <c r="J201" s="64" t="s">
        <v>59</v>
      </c>
      <c r="K201" s="64" t="s">
        <v>52</v>
      </c>
      <c r="L201" s="64" t="s">
        <v>38</v>
      </c>
      <c r="M201" s="63">
        <v>44952</v>
      </c>
      <c r="N201" s="68">
        <v>899.97</v>
      </c>
      <c r="O201" s="71"/>
      <c r="Q201" s="59"/>
      <c r="R201"/>
    </row>
    <row r="202" spans="1:18">
      <c r="A202" s="62" t="s">
        <v>349</v>
      </c>
      <c r="B202" s="63">
        <v>45686</v>
      </c>
      <c r="C202" s="64" t="s">
        <v>295</v>
      </c>
      <c r="D202" s="64" t="s">
        <v>296</v>
      </c>
      <c r="E202" s="64" t="s">
        <v>82</v>
      </c>
      <c r="F202" s="64" t="s">
        <v>83</v>
      </c>
      <c r="G202" s="64" t="s">
        <v>21</v>
      </c>
      <c r="H202" s="65">
        <v>2</v>
      </c>
      <c r="I202" s="65">
        <v>699.99</v>
      </c>
      <c r="J202" s="64" t="s">
        <v>59</v>
      </c>
      <c r="K202" s="64" t="s">
        <v>23</v>
      </c>
      <c r="L202" s="64" t="s">
        <v>29</v>
      </c>
      <c r="M202" s="63">
        <v>44681</v>
      </c>
      <c r="N202" s="68">
        <v>1399.98</v>
      </c>
      <c r="O202" s="71"/>
      <c r="Q202" s="59"/>
      <c r="R202"/>
    </row>
    <row r="203" spans="1:18">
      <c r="A203" s="62" t="s">
        <v>350</v>
      </c>
      <c r="B203" s="63">
        <v>45688</v>
      </c>
      <c r="C203" s="64" t="s">
        <v>67</v>
      </c>
      <c r="D203" s="64" t="s">
        <v>68</v>
      </c>
      <c r="E203" s="64" t="s">
        <v>82</v>
      </c>
      <c r="F203" s="64" t="s">
        <v>83</v>
      </c>
      <c r="G203" s="64" t="s">
        <v>21</v>
      </c>
      <c r="H203" s="65">
        <v>4</v>
      </c>
      <c r="I203" s="65">
        <v>699.99</v>
      </c>
      <c r="J203" s="64" t="s">
        <v>59</v>
      </c>
      <c r="K203" s="64" t="s">
        <v>52</v>
      </c>
      <c r="L203" s="64" t="s">
        <v>29</v>
      </c>
      <c r="M203" s="63">
        <v>44692</v>
      </c>
      <c r="N203" s="68">
        <v>2799.96</v>
      </c>
      <c r="O203" s="71"/>
      <c r="Q203" s="59"/>
      <c r="R203"/>
    </row>
    <row r="204" spans="1:18">
      <c r="A204" s="62" t="s">
        <v>351</v>
      </c>
      <c r="B204" s="63">
        <v>45688</v>
      </c>
      <c r="C204" s="64" t="s">
        <v>125</v>
      </c>
      <c r="D204" s="64" t="s">
        <v>126</v>
      </c>
      <c r="E204" s="64" t="s">
        <v>119</v>
      </c>
      <c r="F204" s="64" t="s">
        <v>120</v>
      </c>
      <c r="G204" s="64" t="s">
        <v>21</v>
      </c>
      <c r="H204" s="65">
        <v>2</v>
      </c>
      <c r="I204" s="65">
        <v>89.99</v>
      </c>
      <c r="J204" s="64" t="s">
        <v>59</v>
      </c>
      <c r="K204" s="64" t="s">
        <v>37</v>
      </c>
      <c r="L204" s="64" t="s">
        <v>24</v>
      </c>
      <c r="M204" s="63">
        <v>44777</v>
      </c>
      <c r="N204" s="68">
        <v>179.98</v>
      </c>
      <c r="O204" s="71"/>
      <c r="Q204" s="59"/>
      <c r="R204"/>
    </row>
    <row r="205" spans="1:18">
      <c r="A205" s="62" t="s">
        <v>352</v>
      </c>
      <c r="B205" s="63">
        <v>45688</v>
      </c>
      <c r="C205" s="64" t="s">
        <v>44</v>
      </c>
      <c r="D205" s="64" t="s">
        <v>45</v>
      </c>
      <c r="E205" s="64" t="s">
        <v>119</v>
      </c>
      <c r="F205" s="64" t="s">
        <v>120</v>
      </c>
      <c r="G205" s="64" t="s">
        <v>21</v>
      </c>
      <c r="H205" s="65">
        <v>3</v>
      </c>
      <c r="I205" s="65">
        <v>89.99</v>
      </c>
      <c r="J205" s="64" t="s">
        <v>59</v>
      </c>
      <c r="K205" s="64" t="s">
        <v>37</v>
      </c>
      <c r="L205" s="64" t="s">
        <v>29</v>
      </c>
      <c r="M205" s="63">
        <v>45307</v>
      </c>
      <c r="N205" s="68">
        <v>269.97000000000003</v>
      </c>
      <c r="O205" s="71"/>
      <c r="Q205" s="59"/>
      <c r="R205"/>
    </row>
    <row r="206" spans="1:18">
      <c r="A206" s="62" t="s">
        <v>353</v>
      </c>
      <c r="B206" s="63">
        <v>45692</v>
      </c>
      <c r="C206" s="64" t="s">
        <v>327</v>
      </c>
      <c r="D206" s="64" t="s">
        <v>328</v>
      </c>
      <c r="E206" s="64" t="s">
        <v>33</v>
      </c>
      <c r="F206" s="64" t="s">
        <v>34</v>
      </c>
      <c r="G206" s="64" t="s">
        <v>35</v>
      </c>
      <c r="H206" s="65">
        <v>1</v>
      </c>
      <c r="I206" s="65">
        <v>59.99</v>
      </c>
      <c r="J206" s="64" t="s">
        <v>59</v>
      </c>
      <c r="K206" s="64" t="s">
        <v>23</v>
      </c>
      <c r="L206" s="64" t="s">
        <v>38</v>
      </c>
      <c r="M206" s="63">
        <v>45045</v>
      </c>
      <c r="N206" s="68">
        <v>59.99</v>
      </c>
      <c r="O206" s="71"/>
      <c r="Q206" s="59"/>
      <c r="R206"/>
    </row>
    <row r="207" spans="1:18">
      <c r="A207" s="62" t="s">
        <v>354</v>
      </c>
      <c r="B207" s="63">
        <v>45695</v>
      </c>
      <c r="C207" s="64" t="s">
        <v>248</v>
      </c>
      <c r="D207" s="64" t="s">
        <v>249</v>
      </c>
      <c r="E207" s="64" t="s">
        <v>46</v>
      </c>
      <c r="F207" s="64" t="s">
        <v>47</v>
      </c>
      <c r="G207" s="64" t="s">
        <v>48</v>
      </c>
      <c r="H207" s="65">
        <v>3</v>
      </c>
      <c r="I207" s="65">
        <v>149.99</v>
      </c>
      <c r="J207" s="64" t="s">
        <v>59</v>
      </c>
      <c r="K207" s="64" t="s">
        <v>42</v>
      </c>
      <c r="L207" s="64" t="s">
        <v>29</v>
      </c>
      <c r="M207" s="63">
        <v>44564</v>
      </c>
      <c r="N207" s="68">
        <v>449.97</v>
      </c>
      <c r="O207" s="71"/>
      <c r="Q207" s="59"/>
      <c r="R207"/>
    </row>
    <row r="208" spans="1:18">
      <c r="A208" s="62" t="s">
        <v>355</v>
      </c>
      <c r="B208" s="63">
        <v>45695</v>
      </c>
      <c r="C208" s="64" t="s">
        <v>95</v>
      </c>
      <c r="D208" s="64" t="s">
        <v>96</v>
      </c>
      <c r="E208" s="64" t="s">
        <v>107</v>
      </c>
      <c r="F208" s="64" t="s">
        <v>108</v>
      </c>
      <c r="G208" s="64" t="s">
        <v>48</v>
      </c>
      <c r="H208" s="65">
        <v>5</v>
      </c>
      <c r="I208" s="65">
        <v>299.99</v>
      </c>
      <c r="J208" s="64" t="s">
        <v>28</v>
      </c>
      <c r="K208" s="64" t="s">
        <v>37</v>
      </c>
      <c r="L208" s="64" t="s">
        <v>24</v>
      </c>
      <c r="M208" s="63">
        <v>44959</v>
      </c>
      <c r="N208" s="68">
        <v>1499.95</v>
      </c>
      <c r="O208" s="71"/>
      <c r="Q208" s="59"/>
      <c r="R208"/>
    </row>
    <row r="209" spans="1:18">
      <c r="A209" s="62" t="s">
        <v>356</v>
      </c>
      <c r="B209" s="63">
        <v>45696</v>
      </c>
      <c r="C209" s="64" t="s">
        <v>152</v>
      </c>
      <c r="D209" s="64" t="s">
        <v>153</v>
      </c>
      <c r="E209" s="64" t="s">
        <v>33</v>
      </c>
      <c r="F209" s="64" t="s">
        <v>34</v>
      </c>
      <c r="G209" s="64" t="s">
        <v>35</v>
      </c>
      <c r="H209" s="65">
        <v>5</v>
      </c>
      <c r="I209" s="65">
        <v>59.99</v>
      </c>
      <c r="J209" s="64" t="s">
        <v>59</v>
      </c>
      <c r="K209" s="64" t="s">
        <v>23</v>
      </c>
      <c r="L209" s="64" t="s">
        <v>38</v>
      </c>
      <c r="M209" s="63">
        <v>45177</v>
      </c>
      <c r="N209" s="68">
        <v>299.95</v>
      </c>
      <c r="O209" s="71"/>
      <c r="Q209" s="59"/>
      <c r="R209"/>
    </row>
    <row r="210" spans="1:18">
      <c r="A210" s="62" t="s">
        <v>357</v>
      </c>
      <c r="B210" s="63">
        <v>45701</v>
      </c>
      <c r="C210" s="64" t="s">
        <v>110</v>
      </c>
      <c r="D210" s="64" t="s">
        <v>111</v>
      </c>
      <c r="E210" s="64" t="s">
        <v>116</v>
      </c>
      <c r="F210" s="64" t="s">
        <v>117</v>
      </c>
      <c r="G210" s="64" t="s">
        <v>35</v>
      </c>
      <c r="H210" s="65">
        <v>3</v>
      </c>
      <c r="I210" s="65">
        <v>79.989999999999995</v>
      </c>
      <c r="J210" s="64" t="s">
        <v>22</v>
      </c>
      <c r="K210" s="64" t="s">
        <v>65</v>
      </c>
      <c r="L210" s="64" t="s">
        <v>29</v>
      </c>
      <c r="M210" s="63">
        <v>44436</v>
      </c>
      <c r="N210" s="68">
        <v>239.97</v>
      </c>
      <c r="O210" s="71"/>
      <c r="Q210" s="59"/>
      <c r="R210"/>
    </row>
    <row r="211" spans="1:18">
      <c r="A211" s="62" t="s">
        <v>358</v>
      </c>
      <c r="B211" s="63">
        <v>45704</v>
      </c>
      <c r="C211" s="64" t="s">
        <v>31</v>
      </c>
      <c r="D211" s="64" t="s">
        <v>32</v>
      </c>
      <c r="E211" s="64" t="s">
        <v>128</v>
      </c>
      <c r="F211" s="64" t="s">
        <v>129</v>
      </c>
      <c r="G211" s="64" t="s">
        <v>48</v>
      </c>
      <c r="H211" s="65">
        <v>3</v>
      </c>
      <c r="I211" s="65">
        <v>199.99</v>
      </c>
      <c r="J211" s="64" t="s">
        <v>22</v>
      </c>
      <c r="K211" s="64" t="s">
        <v>23</v>
      </c>
      <c r="L211" s="64" t="s">
        <v>24</v>
      </c>
      <c r="M211" s="63">
        <v>44735</v>
      </c>
      <c r="N211" s="68">
        <v>599.97</v>
      </c>
      <c r="O211" s="71"/>
      <c r="Q211" s="59"/>
      <c r="R211"/>
    </row>
    <row r="212" spans="1:18">
      <c r="A212" s="62" t="s">
        <v>359</v>
      </c>
      <c r="B212" s="63">
        <v>45704</v>
      </c>
      <c r="C212" s="64" t="s">
        <v>17</v>
      </c>
      <c r="D212" s="64" t="s">
        <v>18</v>
      </c>
      <c r="E212" s="64" t="s">
        <v>119</v>
      </c>
      <c r="F212" s="64" t="s">
        <v>120</v>
      </c>
      <c r="G212" s="64" t="s">
        <v>21</v>
      </c>
      <c r="H212" s="65">
        <v>2</v>
      </c>
      <c r="I212" s="65">
        <v>89.99</v>
      </c>
      <c r="J212" s="64" t="s">
        <v>36</v>
      </c>
      <c r="K212" s="64" t="s">
        <v>23</v>
      </c>
      <c r="L212" s="64" t="s">
        <v>24</v>
      </c>
      <c r="M212" s="63">
        <v>45257</v>
      </c>
      <c r="N212" s="68">
        <v>179.98</v>
      </c>
      <c r="O212" s="71"/>
      <c r="Q212" s="59"/>
      <c r="R212"/>
    </row>
    <row r="213" spans="1:18">
      <c r="A213" s="62" t="s">
        <v>360</v>
      </c>
      <c r="B213" s="63">
        <v>45705</v>
      </c>
      <c r="C213" s="64" t="s">
        <v>261</v>
      </c>
      <c r="D213" s="64" t="s">
        <v>262</v>
      </c>
      <c r="E213" s="64" t="s">
        <v>46</v>
      </c>
      <c r="F213" s="64" t="s">
        <v>47</v>
      </c>
      <c r="G213" s="64" t="s">
        <v>48</v>
      </c>
      <c r="H213" s="65">
        <v>2</v>
      </c>
      <c r="I213" s="65">
        <v>149.99</v>
      </c>
      <c r="J213" s="64" t="s">
        <v>22</v>
      </c>
      <c r="K213" s="64" t="s">
        <v>37</v>
      </c>
      <c r="L213" s="64" t="s">
        <v>29</v>
      </c>
      <c r="M213" s="63">
        <v>44728</v>
      </c>
      <c r="N213" s="68">
        <v>299.98</v>
      </c>
      <c r="O213" s="71"/>
      <c r="Q213" s="59"/>
      <c r="R213"/>
    </row>
    <row r="214" spans="1:18">
      <c r="A214" s="62" t="s">
        <v>361</v>
      </c>
      <c r="B214" s="63">
        <v>45707</v>
      </c>
      <c r="C214" s="64" t="s">
        <v>125</v>
      </c>
      <c r="D214" s="64" t="s">
        <v>126</v>
      </c>
      <c r="E214" s="64" t="s">
        <v>82</v>
      </c>
      <c r="F214" s="64" t="s">
        <v>83</v>
      </c>
      <c r="G214" s="64" t="s">
        <v>21</v>
      </c>
      <c r="H214" s="65">
        <v>5</v>
      </c>
      <c r="I214" s="65">
        <v>699.99</v>
      </c>
      <c r="J214" s="64" t="s">
        <v>36</v>
      </c>
      <c r="K214" s="64" t="s">
        <v>37</v>
      </c>
      <c r="L214" s="64" t="s">
        <v>29</v>
      </c>
      <c r="M214" s="63">
        <v>45352</v>
      </c>
      <c r="N214" s="68">
        <v>3499.95</v>
      </c>
      <c r="O214" s="71"/>
      <c r="Q214" s="59"/>
      <c r="R214"/>
    </row>
    <row r="215" spans="1:18">
      <c r="A215" s="62" t="s">
        <v>362</v>
      </c>
      <c r="B215" s="63">
        <v>45707</v>
      </c>
      <c r="C215" s="64" t="s">
        <v>44</v>
      </c>
      <c r="D215" s="64" t="s">
        <v>45</v>
      </c>
      <c r="E215" s="64" t="s">
        <v>46</v>
      </c>
      <c r="F215" s="64" t="s">
        <v>47</v>
      </c>
      <c r="G215" s="64" t="s">
        <v>48</v>
      </c>
      <c r="H215" s="65">
        <v>3</v>
      </c>
      <c r="I215" s="65">
        <v>149.99</v>
      </c>
      <c r="J215" s="64" t="s">
        <v>36</v>
      </c>
      <c r="K215" s="64" t="s">
        <v>23</v>
      </c>
      <c r="L215" s="64" t="s">
        <v>38</v>
      </c>
      <c r="M215" s="63">
        <v>44633</v>
      </c>
      <c r="N215" s="68">
        <v>449.97</v>
      </c>
      <c r="O215" s="71"/>
      <c r="Q215" s="59"/>
      <c r="R215"/>
    </row>
    <row r="216" spans="1:18">
      <c r="A216" s="62" t="s">
        <v>363</v>
      </c>
      <c r="B216" s="63">
        <v>45708</v>
      </c>
      <c r="C216" s="64" t="s">
        <v>98</v>
      </c>
      <c r="D216" s="64" t="s">
        <v>99</v>
      </c>
      <c r="E216" s="64" t="s">
        <v>63</v>
      </c>
      <c r="F216" s="64" t="s">
        <v>64</v>
      </c>
      <c r="G216" s="64" t="s">
        <v>21</v>
      </c>
      <c r="H216" s="65">
        <v>3</v>
      </c>
      <c r="I216" s="65">
        <v>899.99</v>
      </c>
      <c r="J216" s="64" t="s">
        <v>22</v>
      </c>
      <c r="K216" s="64" t="s">
        <v>65</v>
      </c>
      <c r="L216" s="64" t="s">
        <v>38</v>
      </c>
      <c r="M216" s="63">
        <v>44613</v>
      </c>
      <c r="N216" s="68">
        <v>2699.97</v>
      </c>
      <c r="O216" s="71"/>
      <c r="Q216" s="59"/>
      <c r="R216"/>
    </row>
    <row r="217" spans="1:18">
      <c r="A217" s="62" t="s">
        <v>364</v>
      </c>
      <c r="B217" s="63">
        <v>45708</v>
      </c>
      <c r="C217" s="64" t="s">
        <v>194</v>
      </c>
      <c r="D217" s="64" t="s">
        <v>195</v>
      </c>
      <c r="E217" s="64" t="s">
        <v>128</v>
      </c>
      <c r="F217" s="64" t="s">
        <v>129</v>
      </c>
      <c r="G217" s="64" t="s">
        <v>48</v>
      </c>
      <c r="H217" s="65">
        <v>3</v>
      </c>
      <c r="I217" s="65">
        <v>199.99</v>
      </c>
      <c r="J217" s="64" t="s">
        <v>22</v>
      </c>
      <c r="K217" s="64" t="s">
        <v>52</v>
      </c>
      <c r="L217" s="64" t="s">
        <v>29</v>
      </c>
      <c r="M217" s="63">
        <v>44823</v>
      </c>
      <c r="N217" s="68">
        <v>599.97</v>
      </c>
      <c r="O217" s="71"/>
      <c r="Q217" s="59"/>
      <c r="R217"/>
    </row>
    <row r="218" spans="1:18">
      <c r="A218" s="62" t="s">
        <v>365</v>
      </c>
      <c r="B218" s="63">
        <v>45710</v>
      </c>
      <c r="C218" s="64" t="s">
        <v>57</v>
      </c>
      <c r="D218" s="64" t="s">
        <v>58</v>
      </c>
      <c r="E218" s="64" t="s">
        <v>107</v>
      </c>
      <c r="F218" s="64" t="s">
        <v>108</v>
      </c>
      <c r="G218" s="64" t="s">
        <v>48</v>
      </c>
      <c r="H218" s="65">
        <v>5</v>
      </c>
      <c r="I218" s="65">
        <v>299.99</v>
      </c>
      <c r="J218" s="64" t="s">
        <v>22</v>
      </c>
      <c r="K218" s="64" t="s">
        <v>52</v>
      </c>
      <c r="L218" s="64" t="s">
        <v>38</v>
      </c>
      <c r="M218" s="63">
        <v>45142</v>
      </c>
      <c r="N218" s="68">
        <v>1499.95</v>
      </c>
      <c r="O218" s="71"/>
      <c r="Q218" s="59"/>
      <c r="R218"/>
    </row>
    <row r="219" spans="1:18">
      <c r="A219" s="62" t="s">
        <v>366</v>
      </c>
      <c r="B219" s="63">
        <v>45710</v>
      </c>
      <c r="C219" s="64" t="s">
        <v>152</v>
      </c>
      <c r="D219" s="64" t="s">
        <v>153</v>
      </c>
      <c r="E219" s="64" t="s">
        <v>82</v>
      </c>
      <c r="F219" s="64" t="s">
        <v>83</v>
      </c>
      <c r="G219" s="64" t="s">
        <v>21</v>
      </c>
      <c r="H219" s="65">
        <v>1</v>
      </c>
      <c r="I219" s="65">
        <v>699.99</v>
      </c>
      <c r="J219" s="64" t="s">
        <v>36</v>
      </c>
      <c r="K219" s="64" t="s">
        <v>52</v>
      </c>
      <c r="L219" s="64" t="s">
        <v>24</v>
      </c>
      <c r="M219" s="63">
        <v>44934</v>
      </c>
      <c r="N219" s="68">
        <v>699.99</v>
      </c>
      <c r="O219" s="71"/>
      <c r="Q219" s="59"/>
      <c r="R219"/>
    </row>
    <row r="220" spans="1:18">
      <c r="A220" s="62" t="s">
        <v>367</v>
      </c>
      <c r="B220" s="63">
        <v>45711</v>
      </c>
      <c r="C220" s="64" t="s">
        <v>248</v>
      </c>
      <c r="D220" s="64" t="s">
        <v>249</v>
      </c>
      <c r="E220" s="64" t="s">
        <v>82</v>
      </c>
      <c r="F220" s="64" t="s">
        <v>83</v>
      </c>
      <c r="G220" s="64" t="s">
        <v>21</v>
      </c>
      <c r="H220" s="65">
        <v>1</v>
      </c>
      <c r="I220" s="65">
        <v>699.99</v>
      </c>
      <c r="J220" s="64" t="s">
        <v>22</v>
      </c>
      <c r="K220" s="64" t="s">
        <v>42</v>
      </c>
      <c r="L220" s="64" t="s">
        <v>29</v>
      </c>
      <c r="M220" s="63">
        <v>44583</v>
      </c>
      <c r="N220" s="68">
        <v>699.99</v>
      </c>
      <c r="O220" s="71"/>
      <c r="Q220" s="59"/>
      <c r="R220"/>
    </row>
    <row r="221" spans="1:18">
      <c r="A221" s="62" t="s">
        <v>368</v>
      </c>
      <c r="B221" s="63">
        <v>45711</v>
      </c>
      <c r="C221" s="64" t="s">
        <v>327</v>
      </c>
      <c r="D221" s="64" t="s">
        <v>328</v>
      </c>
      <c r="E221" s="64" t="s">
        <v>46</v>
      </c>
      <c r="F221" s="64" t="s">
        <v>47</v>
      </c>
      <c r="G221" s="64" t="s">
        <v>48</v>
      </c>
      <c r="H221" s="65">
        <v>4</v>
      </c>
      <c r="I221" s="65">
        <v>149.99</v>
      </c>
      <c r="J221" s="64" t="s">
        <v>36</v>
      </c>
      <c r="K221" s="64" t="s">
        <v>42</v>
      </c>
      <c r="L221" s="64" t="s">
        <v>29</v>
      </c>
      <c r="M221" s="63">
        <v>44412</v>
      </c>
      <c r="N221" s="68">
        <v>599.96</v>
      </c>
      <c r="O221" s="71"/>
      <c r="Q221" s="59"/>
      <c r="R221"/>
    </row>
    <row r="222" spans="1:18">
      <c r="A222" s="62" t="s">
        <v>369</v>
      </c>
      <c r="B222" s="63">
        <v>45711</v>
      </c>
      <c r="C222" s="64" t="s">
        <v>213</v>
      </c>
      <c r="D222" s="64" t="s">
        <v>214</v>
      </c>
      <c r="E222" s="64" t="s">
        <v>119</v>
      </c>
      <c r="F222" s="64" t="s">
        <v>120</v>
      </c>
      <c r="G222" s="64" t="s">
        <v>21</v>
      </c>
      <c r="H222" s="65">
        <v>5</v>
      </c>
      <c r="I222" s="65">
        <v>89.99</v>
      </c>
      <c r="J222" s="64" t="s">
        <v>36</v>
      </c>
      <c r="K222" s="64" t="s">
        <v>52</v>
      </c>
      <c r="L222" s="64" t="s">
        <v>29</v>
      </c>
      <c r="M222" s="63">
        <v>45140</v>
      </c>
      <c r="N222" s="68">
        <v>449.95</v>
      </c>
      <c r="O222" s="71"/>
      <c r="Q222" s="59"/>
      <c r="R222"/>
    </row>
    <row r="223" spans="1:18">
      <c r="A223" s="62" t="s">
        <v>370</v>
      </c>
      <c r="B223" s="63">
        <v>45712</v>
      </c>
      <c r="C223" s="64" t="s">
        <v>140</v>
      </c>
      <c r="D223" s="64" t="s">
        <v>141</v>
      </c>
      <c r="E223" s="64" t="s">
        <v>128</v>
      </c>
      <c r="F223" s="64" t="s">
        <v>129</v>
      </c>
      <c r="G223" s="64" t="s">
        <v>48</v>
      </c>
      <c r="H223" s="65">
        <v>2</v>
      </c>
      <c r="I223" s="65">
        <v>199.99</v>
      </c>
      <c r="J223" s="64" t="s">
        <v>22</v>
      </c>
      <c r="K223" s="64" t="s">
        <v>23</v>
      </c>
      <c r="L223" s="64" t="s">
        <v>29</v>
      </c>
      <c r="M223" s="63">
        <v>44573</v>
      </c>
      <c r="N223" s="68">
        <v>399.98</v>
      </c>
      <c r="O223" s="71"/>
      <c r="Q223" s="59"/>
      <c r="R223"/>
    </row>
    <row r="224" spans="1:18">
      <c r="A224" s="62" t="s">
        <v>371</v>
      </c>
      <c r="B224" s="63">
        <v>45715</v>
      </c>
      <c r="C224" s="64" t="s">
        <v>261</v>
      </c>
      <c r="D224" s="64" t="s">
        <v>262</v>
      </c>
      <c r="E224" s="64" t="s">
        <v>33</v>
      </c>
      <c r="F224" s="64" t="s">
        <v>34</v>
      </c>
      <c r="G224" s="64" t="s">
        <v>35</v>
      </c>
      <c r="H224" s="65">
        <v>4</v>
      </c>
      <c r="I224" s="65">
        <v>59.99</v>
      </c>
      <c r="J224" s="64" t="s">
        <v>22</v>
      </c>
      <c r="K224" s="64" t="s">
        <v>52</v>
      </c>
      <c r="L224" s="64" t="s">
        <v>38</v>
      </c>
      <c r="M224" s="63">
        <v>45070</v>
      </c>
      <c r="N224" s="68">
        <v>239.96</v>
      </c>
      <c r="O224" s="71"/>
      <c r="Q224" s="59"/>
      <c r="R224"/>
    </row>
    <row r="225" spans="1:18">
      <c r="A225" s="62" t="s">
        <v>372</v>
      </c>
      <c r="B225" s="63">
        <v>45715</v>
      </c>
      <c r="C225" s="64" t="s">
        <v>95</v>
      </c>
      <c r="D225" s="64" t="s">
        <v>96</v>
      </c>
      <c r="E225" s="64" t="s">
        <v>107</v>
      </c>
      <c r="F225" s="64" t="s">
        <v>108</v>
      </c>
      <c r="G225" s="64" t="s">
        <v>48</v>
      </c>
      <c r="H225" s="65">
        <v>2</v>
      </c>
      <c r="I225" s="65">
        <v>299.99</v>
      </c>
      <c r="J225" s="64" t="s">
        <v>36</v>
      </c>
      <c r="K225" s="64" t="s">
        <v>37</v>
      </c>
      <c r="L225" s="64" t="s">
        <v>24</v>
      </c>
      <c r="M225" s="63">
        <v>44576</v>
      </c>
      <c r="N225" s="68">
        <v>599.98</v>
      </c>
      <c r="O225" s="71"/>
      <c r="Q225" s="59"/>
      <c r="R225"/>
    </row>
    <row r="226" spans="1:18">
      <c r="A226" s="62" t="s">
        <v>373</v>
      </c>
      <c r="B226" s="63">
        <v>45718</v>
      </c>
      <c r="C226" s="64" t="s">
        <v>57</v>
      </c>
      <c r="D226" s="64" t="s">
        <v>58</v>
      </c>
      <c r="E226" s="64" t="s">
        <v>46</v>
      </c>
      <c r="F226" s="64" t="s">
        <v>47</v>
      </c>
      <c r="G226" s="64" t="s">
        <v>48</v>
      </c>
      <c r="H226" s="65">
        <v>2</v>
      </c>
      <c r="I226" s="65">
        <v>149.99</v>
      </c>
      <c r="J226" s="64" t="s">
        <v>22</v>
      </c>
      <c r="K226" s="64" t="s">
        <v>23</v>
      </c>
      <c r="L226" s="64" t="s">
        <v>24</v>
      </c>
      <c r="M226" s="63">
        <v>45068</v>
      </c>
      <c r="N226" s="68">
        <v>299.98</v>
      </c>
      <c r="O226" s="71"/>
      <c r="Q226" s="59"/>
      <c r="R226"/>
    </row>
    <row r="227" spans="1:18">
      <c r="A227" s="62" t="s">
        <v>374</v>
      </c>
      <c r="B227" s="63">
        <v>45720</v>
      </c>
      <c r="C227" s="64" t="s">
        <v>228</v>
      </c>
      <c r="D227" s="64" t="s">
        <v>229</v>
      </c>
      <c r="E227" s="64" t="s">
        <v>82</v>
      </c>
      <c r="F227" s="64" t="s">
        <v>83</v>
      </c>
      <c r="G227" s="64" t="s">
        <v>21</v>
      </c>
      <c r="H227" s="65">
        <v>5</v>
      </c>
      <c r="I227" s="65">
        <v>699.99</v>
      </c>
      <c r="J227" s="64" t="s">
        <v>59</v>
      </c>
      <c r="K227" s="64" t="s">
        <v>65</v>
      </c>
      <c r="L227" s="64" t="s">
        <v>29</v>
      </c>
      <c r="M227" s="63">
        <v>45161</v>
      </c>
      <c r="N227" s="68">
        <v>3499.95</v>
      </c>
      <c r="O227" s="71"/>
      <c r="Q227" s="59"/>
      <c r="R227"/>
    </row>
    <row r="228" spans="1:18">
      <c r="A228" s="62" t="s">
        <v>375</v>
      </c>
      <c r="B228" s="63">
        <v>45721</v>
      </c>
      <c r="C228" s="64" t="s">
        <v>77</v>
      </c>
      <c r="D228" s="64" t="s">
        <v>78</v>
      </c>
      <c r="E228" s="64" t="s">
        <v>33</v>
      </c>
      <c r="F228" s="64" t="s">
        <v>34</v>
      </c>
      <c r="G228" s="64" t="s">
        <v>35</v>
      </c>
      <c r="H228" s="65">
        <v>5</v>
      </c>
      <c r="I228" s="65">
        <v>59.99</v>
      </c>
      <c r="J228" s="64" t="s">
        <v>22</v>
      </c>
      <c r="K228" s="64" t="s">
        <v>52</v>
      </c>
      <c r="L228" s="64" t="s">
        <v>29</v>
      </c>
      <c r="M228" s="63">
        <v>45291</v>
      </c>
      <c r="N228" s="68">
        <v>299.95</v>
      </c>
      <c r="O228" s="71"/>
      <c r="Q228" s="59"/>
      <c r="R228"/>
    </row>
    <row r="229" spans="1:18">
      <c r="A229" s="62" t="s">
        <v>376</v>
      </c>
      <c r="B229" s="63">
        <v>45723</v>
      </c>
      <c r="C229" s="64" t="s">
        <v>17</v>
      </c>
      <c r="D229" s="64" t="s">
        <v>18</v>
      </c>
      <c r="E229" s="64" t="s">
        <v>119</v>
      </c>
      <c r="F229" s="64" t="s">
        <v>120</v>
      </c>
      <c r="G229" s="64" t="s">
        <v>21</v>
      </c>
      <c r="H229" s="65">
        <v>2</v>
      </c>
      <c r="I229" s="65">
        <v>89.99</v>
      </c>
      <c r="J229" s="64" t="s">
        <v>28</v>
      </c>
      <c r="K229" s="64" t="s">
        <v>52</v>
      </c>
      <c r="L229" s="64" t="s">
        <v>29</v>
      </c>
      <c r="M229" s="63">
        <v>45295</v>
      </c>
      <c r="N229" s="68">
        <v>179.98</v>
      </c>
      <c r="O229" s="71"/>
      <c r="Q229" s="59"/>
      <c r="R229"/>
    </row>
    <row r="230" spans="1:18">
      <c r="A230" s="62" t="s">
        <v>377</v>
      </c>
      <c r="B230" s="63">
        <v>45723</v>
      </c>
      <c r="C230" s="64" t="s">
        <v>122</v>
      </c>
      <c r="D230" s="64" t="s">
        <v>123</v>
      </c>
      <c r="E230" s="64" t="s">
        <v>19</v>
      </c>
      <c r="F230" s="64" t="s">
        <v>20</v>
      </c>
      <c r="G230" s="64" t="s">
        <v>21</v>
      </c>
      <c r="H230" s="65">
        <v>5</v>
      </c>
      <c r="I230" s="65">
        <v>249.99</v>
      </c>
      <c r="J230" s="64" t="s">
        <v>22</v>
      </c>
      <c r="K230" s="64" t="s">
        <v>65</v>
      </c>
      <c r="L230" s="64" t="s">
        <v>38</v>
      </c>
      <c r="M230" s="63">
        <v>44540</v>
      </c>
      <c r="N230" s="68">
        <v>1249.95</v>
      </c>
      <c r="O230" s="71"/>
      <c r="Q230" s="59"/>
      <c r="R230"/>
    </row>
    <row r="231" spans="1:18">
      <c r="A231" s="62" t="s">
        <v>378</v>
      </c>
      <c r="B231" s="63">
        <v>45724</v>
      </c>
      <c r="C231" s="64" t="s">
        <v>228</v>
      </c>
      <c r="D231" s="64" t="s">
        <v>229</v>
      </c>
      <c r="E231" s="64" t="s">
        <v>46</v>
      </c>
      <c r="F231" s="64" t="s">
        <v>47</v>
      </c>
      <c r="G231" s="64" t="s">
        <v>48</v>
      </c>
      <c r="H231" s="65">
        <v>2</v>
      </c>
      <c r="I231" s="65">
        <v>149.99</v>
      </c>
      <c r="J231" s="64" t="s">
        <v>36</v>
      </c>
      <c r="K231" s="64" t="s">
        <v>23</v>
      </c>
      <c r="L231" s="64" t="s">
        <v>29</v>
      </c>
      <c r="M231" s="63">
        <v>44632</v>
      </c>
      <c r="N231" s="68">
        <v>299.98</v>
      </c>
      <c r="O231" s="71"/>
      <c r="Q231" s="59"/>
      <c r="R231"/>
    </row>
    <row r="232" spans="1:18">
      <c r="A232" s="62" t="s">
        <v>379</v>
      </c>
      <c r="B232" s="63">
        <v>45724</v>
      </c>
      <c r="C232" s="64" t="s">
        <v>146</v>
      </c>
      <c r="D232" s="64" t="s">
        <v>147</v>
      </c>
      <c r="E232" s="64" t="s">
        <v>63</v>
      </c>
      <c r="F232" s="64" t="s">
        <v>64</v>
      </c>
      <c r="G232" s="64" t="s">
        <v>21</v>
      </c>
      <c r="H232" s="65">
        <v>5</v>
      </c>
      <c r="I232" s="65">
        <v>899.99</v>
      </c>
      <c r="J232" s="64" t="s">
        <v>36</v>
      </c>
      <c r="K232" s="64" t="s">
        <v>65</v>
      </c>
      <c r="L232" s="64" t="s">
        <v>29</v>
      </c>
      <c r="M232" s="63">
        <v>45389</v>
      </c>
      <c r="N232" s="68">
        <v>4499.95</v>
      </c>
      <c r="O232" s="71"/>
      <c r="Q232" s="59"/>
      <c r="R232"/>
    </row>
    <row r="233" spans="1:18">
      <c r="A233" s="62" t="s">
        <v>380</v>
      </c>
      <c r="B233" s="63">
        <v>45724</v>
      </c>
      <c r="C233" s="64" t="s">
        <v>57</v>
      </c>
      <c r="D233" s="64" t="s">
        <v>58</v>
      </c>
      <c r="E233" s="64" t="s">
        <v>46</v>
      </c>
      <c r="F233" s="64" t="s">
        <v>47</v>
      </c>
      <c r="G233" s="64" t="s">
        <v>48</v>
      </c>
      <c r="H233" s="65">
        <v>4</v>
      </c>
      <c r="I233" s="65">
        <v>149.99</v>
      </c>
      <c r="J233" s="64" t="s">
        <v>22</v>
      </c>
      <c r="K233" s="64" t="s">
        <v>23</v>
      </c>
      <c r="L233" s="64" t="s">
        <v>38</v>
      </c>
      <c r="M233" s="63">
        <v>45263</v>
      </c>
      <c r="N233" s="68">
        <v>599.96</v>
      </c>
      <c r="O233" s="71"/>
      <c r="Q233" s="59"/>
      <c r="R233"/>
    </row>
    <row r="234" spans="1:18">
      <c r="A234" s="62" t="s">
        <v>381</v>
      </c>
      <c r="B234" s="63">
        <v>45726</v>
      </c>
      <c r="C234" s="64" t="s">
        <v>146</v>
      </c>
      <c r="D234" s="64" t="s">
        <v>147</v>
      </c>
      <c r="E234" s="64" t="s">
        <v>19</v>
      </c>
      <c r="F234" s="64" t="s">
        <v>20</v>
      </c>
      <c r="G234" s="64" t="s">
        <v>21</v>
      </c>
      <c r="H234" s="65">
        <v>1</v>
      </c>
      <c r="I234" s="65">
        <v>249.99</v>
      </c>
      <c r="J234" s="64" t="s">
        <v>22</v>
      </c>
      <c r="K234" s="64" t="s">
        <v>42</v>
      </c>
      <c r="L234" s="64" t="s">
        <v>38</v>
      </c>
      <c r="M234" s="63">
        <v>45117</v>
      </c>
      <c r="N234" s="68">
        <v>249.99</v>
      </c>
      <c r="O234" s="71"/>
      <c r="Q234" s="59"/>
      <c r="R234"/>
    </row>
    <row r="235" spans="1:18">
      <c r="A235" s="62" t="s">
        <v>382</v>
      </c>
      <c r="B235" s="63">
        <v>45734</v>
      </c>
      <c r="C235" s="64" t="s">
        <v>194</v>
      </c>
      <c r="D235" s="64" t="s">
        <v>195</v>
      </c>
      <c r="E235" s="64" t="s">
        <v>33</v>
      </c>
      <c r="F235" s="64" t="s">
        <v>34</v>
      </c>
      <c r="G235" s="64" t="s">
        <v>35</v>
      </c>
      <c r="H235" s="65">
        <v>2</v>
      </c>
      <c r="I235" s="65">
        <v>59.99</v>
      </c>
      <c r="J235" s="64" t="s">
        <v>28</v>
      </c>
      <c r="K235" s="64" t="s">
        <v>52</v>
      </c>
      <c r="L235" s="64" t="s">
        <v>24</v>
      </c>
      <c r="M235" s="63">
        <v>45193</v>
      </c>
      <c r="N235" s="68">
        <v>119.98</v>
      </c>
      <c r="O235" s="71"/>
      <c r="Q235" s="59"/>
      <c r="R235"/>
    </row>
    <row r="236" spans="1:18">
      <c r="A236" s="62" t="s">
        <v>383</v>
      </c>
      <c r="B236" s="63">
        <v>45737</v>
      </c>
      <c r="C236" s="64" t="s">
        <v>134</v>
      </c>
      <c r="D236" s="64" t="s">
        <v>135</v>
      </c>
      <c r="E236" s="64" t="s">
        <v>46</v>
      </c>
      <c r="F236" s="64" t="s">
        <v>47</v>
      </c>
      <c r="G236" s="64" t="s">
        <v>48</v>
      </c>
      <c r="H236" s="65">
        <v>2</v>
      </c>
      <c r="I236" s="65">
        <v>149.99</v>
      </c>
      <c r="J236" s="64" t="s">
        <v>22</v>
      </c>
      <c r="K236" s="64" t="s">
        <v>52</v>
      </c>
      <c r="L236" s="64" t="s">
        <v>29</v>
      </c>
      <c r="M236" s="63">
        <v>45233</v>
      </c>
      <c r="N236" s="68">
        <v>299.98</v>
      </c>
      <c r="O236" s="71"/>
      <c r="Q236" s="59"/>
      <c r="R236"/>
    </row>
    <row r="237" spans="1:18">
      <c r="A237" s="62" t="s">
        <v>384</v>
      </c>
      <c r="B237" s="63">
        <v>45737</v>
      </c>
      <c r="C237" s="64" t="s">
        <v>152</v>
      </c>
      <c r="D237" s="64" t="s">
        <v>153</v>
      </c>
      <c r="E237" s="64" t="s">
        <v>63</v>
      </c>
      <c r="F237" s="64" t="s">
        <v>64</v>
      </c>
      <c r="G237" s="64" t="s">
        <v>21</v>
      </c>
      <c r="H237" s="65">
        <v>3</v>
      </c>
      <c r="I237" s="65">
        <v>899.99</v>
      </c>
      <c r="J237" s="64" t="s">
        <v>59</v>
      </c>
      <c r="K237" s="64" t="s">
        <v>42</v>
      </c>
      <c r="L237" s="64" t="s">
        <v>29</v>
      </c>
      <c r="M237" s="63">
        <v>44876</v>
      </c>
      <c r="N237" s="68">
        <v>2699.97</v>
      </c>
      <c r="O237" s="71"/>
      <c r="Q237" s="59"/>
      <c r="R237"/>
    </row>
    <row r="238" spans="1:18">
      <c r="A238" s="62" t="s">
        <v>385</v>
      </c>
      <c r="B238" s="63">
        <v>45737</v>
      </c>
      <c r="C238" s="64" t="s">
        <v>50</v>
      </c>
      <c r="D238" s="64" t="s">
        <v>51</v>
      </c>
      <c r="E238" s="64" t="s">
        <v>63</v>
      </c>
      <c r="F238" s="64" t="s">
        <v>64</v>
      </c>
      <c r="G238" s="64" t="s">
        <v>21</v>
      </c>
      <c r="H238" s="65">
        <v>3</v>
      </c>
      <c r="I238" s="65">
        <v>899.99</v>
      </c>
      <c r="J238" s="64" t="s">
        <v>36</v>
      </c>
      <c r="K238" s="64" t="s">
        <v>42</v>
      </c>
      <c r="L238" s="64" t="s">
        <v>24</v>
      </c>
      <c r="M238" s="63">
        <v>44975</v>
      </c>
      <c r="N238" s="68">
        <v>2699.97</v>
      </c>
      <c r="O238" s="71"/>
      <c r="Q238" s="59"/>
      <c r="R238"/>
    </row>
    <row r="239" spans="1:18">
      <c r="A239" s="62" t="s">
        <v>386</v>
      </c>
      <c r="B239" s="63">
        <v>45739</v>
      </c>
      <c r="C239" s="64" t="s">
        <v>17</v>
      </c>
      <c r="D239" s="64" t="s">
        <v>18</v>
      </c>
      <c r="E239" s="64" t="s">
        <v>107</v>
      </c>
      <c r="F239" s="64" t="s">
        <v>108</v>
      </c>
      <c r="G239" s="64" t="s">
        <v>48</v>
      </c>
      <c r="H239" s="65">
        <v>3</v>
      </c>
      <c r="I239" s="65">
        <v>299.99</v>
      </c>
      <c r="J239" s="64" t="s">
        <v>28</v>
      </c>
      <c r="K239" s="64" t="s">
        <v>52</v>
      </c>
      <c r="L239" s="64" t="s">
        <v>29</v>
      </c>
      <c r="M239" s="63">
        <v>45234</v>
      </c>
      <c r="N239" s="68">
        <v>899.97</v>
      </c>
      <c r="O239" s="71"/>
      <c r="Q239" s="59"/>
      <c r="R239"/>
    </row>
    <row r="240" spans="1:18">
      <c r="A240" s="62" t="s">
        <v>387</v>
      </c>
      <c r="B240" s="63">
        <v>45740</v>
      </c>
      <c r="C240" s="64" t="s">
        <v>388</v>
      </c>
      <c r="D240" s="64" t="s">
        <v>389</v>
      </c>
      <c r="E240" s="64" t="s">
        <v>46</v>
      </c>
      <c r="F240" s="64" t="s">
        <v>47</v>
      </c>
      <c r="G240" s="64" t="s">
        <v>48</v>
      </c>
      <c r="H240" s="65">
        <v>4</v>
      </c>
      <c r="I240" s="65">
        <v>149.99</v>
      </c>
      <c r="J240" s="64" t="s">
        <v>36</v>
      </c>
      <c r="K240" s="64" t="s">
        <v>52</v>
      </c>
      <c r="L240" s="64" t="s">
        <v>38</v>
      </c>
      <c r="M240" s="63">
        <v>44560</v>
      </c>
      <c r="N240" s="68">
        <v>599.96</v>
      </c>
      <c r="O240" s="71"/>
      <c r="Q240" s="59"/>
      <c r="R240"/>
    </row>
    <row r="241" spans="1:18">
      <c r="A241" s="62" t="s">
        <v>390</v>
      </c>
      <c r="B241" s="63">
        <v>45743</v>
      </c>
      <c r="C241" s="64" t="s">
        <v>104</v>
      </c>
      <c r="D241" s="64" t="s">
        <v>105</v>
      </c>
      <c r="E241" s="64" t="s">
        <v>116</v>
      </c>
      <c r="F241" s="64" t="s">
        <v>117</v>
      </c>
      <c r="G241" s="64" t="s">
        <v>35</v>
      </c>
      <c r="H241" s="65">
        <v>4</v>
      </c>
      <c r="I241" s="65">
        <v>79.989999999999995</v>
      </c>
      <c r="J241" s="64" t="s">
        <v>28</v>
      </c>
      <c r="K241" s="64" t="s">
        <v>23</v>
      </c>
      <c r="L241" s="64" t="s">
        <v>24</v>
      </c>
      <c r="M241" s="63">
        <v>45288</v>
      </c>
      <c r="N241" s="68">
        <v>319.95999999999998</v>
      </c>
      <c r="O241" s="71"/>
      <c r="Q241" s="59"/>
      <c r="R241"/>
    </row>
    <row r="242" spans="1:18">
      <c r="A242" s="62" t="s">
        <v>391</v>
      </c>
      <c r="B242" s="63">
        <v>45745</v>
      </c>
      <c r="C242" s="64" t="s">
        <v>187</v>
      </c>
      <c r="D242" s="64" t="s">
        <v>188</v>
      </c>
      <c r="E242" s="64" t="s">
        <v>119</v>
      </c>
      <c r="F242" s="64" t="s">
        <v>120</v>
      </c>
      <c r="G242" s="64" t="s">
        <v>21</v>
      </c>
      <c r="H242" s="65">
        <v>5</v>
      </c>
      <c r="I242" s="65">
        <v>89.99</v>
      </c>
      <c r="J242" s="64" t="s">
        <v>36</v>
      </c>
      <c r="K242" s="64" t="s">
        <v>37</v>
      </c>
      <c r="L242" s="64" t="s">
        <v>24</v>
      </c>
      <c r="M242" s="63">
        <v>44704</v>
      </c>
      <c r="N242" s="68">
        <v>449.95</v>
      </c>
      <c r="O242" s="71"/>
      <c r="Q242" s="59"/>
      <c r="R242"/>
    </row>
    <row r="243" spans="1:18">
      <c r="A243" s="62" t="s">
        <v>392</v>
      </c>
      <c r="B243" s="63">
        <v>45746</v>
      </c>
      <c r="C243" s="64" t="s">
        <v>95</v>
      </c>
      <c r="D243" s="64" t="s">
        <v>96</v>
      </c>
      <c r="E243" s="64" t="s">
        <v>46</v>
      </c>
      <c r="F243" s="64" t="s">
        <v>47</v>
      </c>
      <c r="G243" s="64" t="s">
        <v>48</v>
      </c>
      <c r="H243" s="65">
        <v>3</v>
      </c>
      <c r="I243" s="65">
        <v>149.99</v>
      </c>
      <c r="J243" s="64" t="s">
        <v>36</v>
      </c>
      <c r="K243" s="64" t="s">
        <v>23</v>
      </c>
      <c r="L243" s="64" t="s">
        <v>38</v>
      </c>
      <c r="M243" s="63">
        <v>45171</v>
      </c>
      <c r="N243" s="68">
        <v>449.97</v>
      </c>
      <c r="O243" s="71"/>
      <c r="Q243" s="59"/>
      <c r="R243"/>
    </row>
    <row r="244" spans="1:18">
      <c r="A244" s="62" t="s">
        <v>393</v>
      </c>
      <c r="B244" s="63">
        <v>45746</v>
      </c>
      <c r="C244" s="64" t="s">
        <v>67</v>
      </c>
      <c r="D244" s="64" t="s">
        <v>68</v>
      </c>
      <c r="E244" s="64" t="s">
        <v>119</v>
      </c>
      <c r="F244" s="64" t="s">
        <v>120</v>
      </c>
      <c r="G244" s="64" t="s">
        <v>21</v>
      </c>
      <c r="H244" s="65">
        <v>2</v>
      </c>
      <c r="I244" s="65">
        <v>89.99</v>
      </c>
      <c r="J244" s="64" t="s">
        <v>59</v>
      </c>
      <c r="K244" s="64" t="s">
        <v>52</v>
      </c>
      <c r="L244" s="64" t="s">
        <v>29</v>
      </c>
      <c r="M244" s="63">
        <v>44522</v>
      </c>
      <c r="N244" s="68">
        <v>179.98</v>
      </c>
      <c r="O244" s="71"/>
      <c r="Q244" s="59"/>
      <c r="R244"/>
    </row>
    <row r="245" spans="1:18">
      <c r="A245" s="62" t="s">
        <v>394</v>
      </c>
      <c r="B245" s="63">
        <v>45748</v>
      </c>
      <c r="C245" s="64" t="s">
        <v>104</v>
      </c>
      <c r="D245" s="64" t="s">
        <v>105</v>
      </c>
      <c r="E245" s="64" t="s">
        <v>82</v>
      </c>
      <c r="F245" s="64" t="s">
        <v>83</v>
      </c>
      <c r="G245" s="64" t="s">
        <v>21</v>
      </c>
      <c r="H245" s="65">
        <v>2</v>
      </c>
      <c r="I245" s="65">
        <v>699.99</v>
      </c>
      <c r="J245" s="64" t="s">
        <v>36</v>
      </c>
      <c r="K245" s="64" t="s">
        <v>42</v>
      </c>
      <c r="L245" s="64" t="s">
        <v>38</v>
      </c>
      <c r="M245" s="63">
        <v>44618</v>
      </c>
      <c r="N245" s="68">
        <v>1399.98</v>
      </c>
      <c r="O245" s="71"/>
      <c r="Q245" s="59"/>
      <c r="R245"/>
    </row>
    <row r="246" spans="1:18">
      <c r="A246" s="62" t="s">
        <v>395</v>
      </c>
      <c r="B246" s="63">
        <v>45749</v>
      </c>
      <c r="C246" s="64" t="s">
        <v>125</v>
      </c>
      <c r="D246" s="64" t="s">
        <v>126</v>
      </c>
      <c r="E246" s="64" t="s">
        <v>63</v>
      </c>
      <c r="F246" s="64" t="s">
        <v>64</v>
      </c>
      <c r="G246" s="64" t="s">
        <v>21</v>
      </c>
      <c r="H246" s="65">
        <v>3</v>
      </c>
      <c r="I246" s="65">
        <v>899.99</v>
      </c>
      <c r="J246" s="64" t="s">
        <v>22</v>
      </c>
      <c r="K246" s="64" t="s">
        <v>23</v>
      </c>
      <c r="L246" s="64" t="s">
        <v>38</v>
      </c>
      <c r="M246" s="63">
        <v>44953</v>
      </c>
      <c r="N246" s="68">
        <v>2699.97</v>
      </c>
      <c r="O246" s="71"/>
      <c r="Q246" s="59"/>
      <c r="R246"/>
    </row>
    <row r="247" spans="1:18">
      <c r="A247" s="62" t="s">
        <v>396</v>
      </c>
      <c r="B247" s="63">
        <v>45755</v>
      </c>
      <c r="C247" s="64" t="s">
        <v>95</v>
      </c>
      <c r="D247" s="64" t="s">
        <v>96</v>
      </c>
      <c r="E247" s="64" t="s">
        <v>116</v>
      </c>
      <c r="F247" s="64" t="s">
        <v>117</v>
      </c>
      <c r="G247" s="64" t="s">
        <v>35</v>
      </c>
      <c r="H247" s="65">
        <v>3</v>
      </c>
      <c r="I247" s="65">
        <v>79.989999999999995</v>
      </c>
      <c r="J247" s="64" t="s">
        <v>28</v>
      </c>
      <c r="K247" s="64" t="s">
        <v>42</v>
      </c>
      <c r="L247" s="64" t="s">
        <v>24</v>
      </c>
      <c r="M247" s="63">
        <v>44511</v>
      </c>
      <c r="N247" s="68">
        <v>239.97</v>
      </c>
      <c r="O247" s="71"/>
      <c r="Q247" s="59"/>
      <c r="R247"/>
    </row>
    <row r="248" spans="1:18">
      <c r="A248" s="62" t="s">
        <v>397</v>
      </c>
      <c r="B248" s="63">
        <v>45756</v>
      </c>
      <c r="C248" s="64" t="s">
        <v>61</v>
      </c>
      <c r="D248" s="64" t="s">
        <v>62</v>
      </c>
      <c r="E248" s="64" t="s">
        <v>119</v>
      </c>
      <c r="F248" s="64" t="s">
        <v>120</v>
      </c>
      <c r="G248" s="64" t="s">
        <v>21</v>
      </c>
      <c r="H248" s="65">
        <v>1</v>
      </c>
      <c r="I248" s="65">
        <v>89.99</v>
      </c>
      <c r="J248" s="64" t="s">
        <v>59</v>
      </c>
      <c r="K248" s="64" t="s">
        <v>65</v>
      </c>
      <c r="L248" s="64" t="s">
        <v>24</v>
      </c>
      <c r="M248" s="63">
        <v>45346</v>
      </c>
      <c r="N248" s="68">
        <v>89.99</v>
      </c>
      <c r="O248" s="71"/>
      <c r="Q248" s="59"/>
      <c r="R248"/>
    </row>
    <row r="249" spans="1:18">
      <c r="A249" s="62" t="s">
        <v>398</v>
      </c>
      <c r="B249" s="63">
        <v>45758</v>
      </c>
      <c r="C249" s="64" t="s">
        <v>295</v>
      </c>
      <c r="D249" s="64" t="s">
        <v>296</v>
      </c>
      <c r="E249" s="64" t="s">
        <v>82</v>
      </c>
      <c r="F249" s="64" t="s">
        <v>83</v>
      </c>
      <c r="G249" s="64" t="s">
        <v>21</v>
      </c>
      <c r="H249" s="65">
        <v>3</v>
      </c>
      <c r="I249" s="65">
        <v>699.99</v>
      </c>
      <c r="J249" s="64" t="s">
        <v>36</v>
      </c>
      <c r="K249" s="64" t="s">
        <v>42</v>
      </c>
      <c r="L249" s="64" t="s">
        <v>24</v>
      </c>
      <c r="M249" s="63">
        <v>44909</v>
      </c>
      <c r="N249" s="68">
        <v>2099.9699999999998</v>
      </c>
      <c r="O249" s="71"/>
      <c r="Q249" s="59"/>
      <c r="R249"/>
    </row>
    <row r="250" spans="1:18">
      <c r="A250" s="62" t="s">
        <v>399</v>
      </c>
      <c r="B250" s="63">
        <v>45758</v>
      </c>
      <c r="C250" s="64" t="s">
        <v>228</v>
      </c>
      <c r="D250" s="64" t="s">
        <v>229</v>
      </c>
      <c r="E250" s="64" t="s">
        <v>119</v>
      </c>
      <c r="F250" s="64" t="s">
        <v>120</v>
      </c>
      <c r="G250" s="64" t="s">
        <v>21</v>
      </c>
      <c r="H250" s="65">
        <v>2</v>
      </c>
      <c r="I250" s="65">
        <v>89.99</v>
      </c>
      <c r="J250" s="64" t="s">
        <v>59</v>
      </c>
      <c r="K250" s="64" t="s">
        <v>65</v>
      </c>
      <c r="L250" s="64" t="s">
        <v>24</v>
      </c>
      <c r="M250" s="63">
        <v>45088</v>
      </c>
      <c r="N250" s="68">
        <v>179.98</v>
      </c>
      <c r="O250" s="71"/>
      <c r="Q250" s="59"/>
      <c r="R250"/>
    </row>
    <row r="251" spans="1:18">
      <c r="A251" s="74" t="s">
        <v>400</v>
      </c>
      <c r="B251" s="75">
        <v>45758</v>
      </c>
      <c r="C251" s="76" t="s">
        <v>140</v>
      </c>
      <c r="D251" s="76" t="s">
        <v>141</v>
      </c>
      <c r="E251" s="76" t="s">
        <v>119</v>
      </c>
      <c r="F251" s="76" t="s">
        <v>120</v>
      </c>
      <c r="G251" s="76" t="s">
        <v>21</v>
      </c>
      <c r="H251" s="77">
        <v>3</v>
      </c>
      <c r="I251" s="77">
        <v>89.99</v>
      </c>
      <c r="J251" s="76" t="s">
        <v>59</v>
      </c>
      <c r="K251" s="76" t="s">
        <v>42</v>
      </c>
      <c r="L251" s="76" t="s">
        <v>29</v>
      </c>
      <c r="M251" s="75">
        <v>44878</v>
      </c>
      <c r="N251" s="78">
        <v>269.97000000000003</v>
      </c>
      <c r="O251" s="79"/>
      <c r="Q251" s="59"/>
      <c r="R251"/>
    </row>
  </sheetData>
  <mergeCells count="1">
    <mergeCell ref="P1:AC1"/>
  </mergeCells>
  <pageMargins left="0.7" right="0.7" top="0.75" bottom="0.75" header="0.3" footer="0.3"/>
  <pageSetup orientation="portrait"/>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0B384C86-A0F7-493B-AA6F-147233EBC795}">
            <x14:iconSet iconSet="3Triangles">
              <x14:cfvo type="percent">
                <xm:f>0</xm:f>
              </x14:cfvo>
              <x14:cfvo type="percent">
                <xm:f>33</xm:f>
              </x14:cfvo>
              <x14:cfvo type="percent">
                <xm:f>67</xm:f>
              </x14:cfvo>
            </x14:iconSet>
          </x14:cfRule>
          <xm:sqref>N1:O1048576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F4"/>
  <sheetViews>
    <sheetView workbookViewId="0">
      <selection activeCell="F2" sqref="F2"/>
    </sheetView>
  </sheetViews>
  <sheetFormatPr defaultColWidth="9" defaultRowHeight="14.4"/>
  <cols>
    <col min="1" max="1" width="14.5546875" customWidth="1"/>
    <col min="2" max="2" width="14.6640625" customWidth="1"/>
    <col min="3" max="3" width="18.6640625" customWidth="1"/>
    <col min="5" max="5" width="12.21875" customWidth="1"/>
    <col min="6" max="6" width="12.5546875" customWidth="1"/>
  </cols>
  <sheetData>
    <row r="1" spans="1:6">
      <c r="A1" t="s">
        <v>401</v>
      </c>
      <c r="B1" t="s">
        <v>402</v>
      </c>
      <c r="C1" t="s">
        <v>403</v>
      </c>
      <c r="D1" t="s">
        <v>404</v>
      </c>
      <c r="E1" t="s">
        <v>405</v>
      </c>
      <c r="F1" s="55" t="s">
        <v>406</v>
      </c>
    </row>
    <row r="2" spans="1:6">
      <c r="A2" s="56">
        <f t="shared" ref="A2:A4" ca="1" si="0">TODAY()</f>
        <v>46122</v>
      </c>
      <c r="B2" s="57">
        <f t="shared" ref="B2:B4" ca="1" si="1">NOW()</f>
        <v>46122.99681423611</v>
      </c>
      <c r="C2" s="56">
        <v>38225</v>
      </c>
      <c r="D2">
        <f ca="1">DATEDIF(Table3[[#This Row],[DOB]],TODAY(),"Y")</f>
        <v>21</v>
      </c>
      <c r="E2">
        <f>EOMONTH(Table3[[#This Row],[DOB]],3)</f>
        <v>38321</v>
      </c>
      <c r="F2">
        <f t="shared" ref="F2:F4" ca="1" si="2">IF(A2&lt;&gt;"",IF(F2="",NOW(),F2),"")</f>
        <v>0</v>
      </c>
    </row>
    <row r="3" spans="1:6">
      <c r="A3" s="56">
        <f t="shared" ca="1" si="0"/>
        <v>46122</v>
      </c>
      <c r="B3" s="57">
        <f t="shared" ca="1" si="1"/>
        <v>46122.99681423611</v>
      </c>
      <c r="C3" s="56">
        <v>38955</v>
      </c>
      <c r="D3">
        <f ca="1">DATEDIF(Table3[[#This Row],[DOB]],TODAY(),"Y")</f>
        <v>19</v>
      </c>
      <c r="E3">
        <f>EOMONTH(Table3[[#This Row],[DOB]],3)</f>
        <v>39051</v>
      </c>
      <c r="F3">
        <f t="shared" ca="1" si="2"/>
        <v>0</v>
      </c>
    </row>
    <row r="4" spans="1:6">
      <c r="A4" s="56">
        <f t="shared" ca="1" si="0"/>
        <v>46122</v>
      </c>
      <c r="B4" s="57">
        <f t="shared" ca="1" si="1"/>
        <v>46122.99681423611</v>
      </c>
      <c r="C4" s="56">
        <v>38347</v>
      </c>
      <c r="D4">
        <f ca="1">DATEDIF(Table3[[#This Row],[DOB]],TODAY(),"Y")</f>
        <v>21</v>
      </c>
      <c r="E4">
        <f>EOMONTH(Table3[[#This Row],[DOB]],3)</f>
        <v>38442</v>
      </c>
      <c r="F4">
        <f t="shared" ca="1" si="2"/>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outlinePr summaryBelow="0"/>
  </sheetPr>
  <dimension ref="B2:G13"/>
  <sheetViews>
    <sheetView showGridLines="0" workbookViewId="0"/>
  </sheetViews>
  <sheetFormatPr defaultColWidth="9" defaultRowHeight="14.4" outlineLevelRow="1" outlineLevelCol="1"/>
  <cols>
    <col min="3" max="3" width="6.33203125" customWidth="1"/>
    <col min="4" max="7" width="13.109375" customWidth="1" outlineLevel="1"/>
  </cols>
  <sheetData>
    <row r="2" spans="2:7" ht="15.6">
      <c r="B2" s="43" t="s">
        <v>407</v>
      </c>
      <c r="C2" s="43"/>
      <c r="D2" s="44"/>
      <c r="E2" s="44"/>
      <c r="F2" s="44"/>
      <c r="G2" s="44"/>
    </row>
    <row r="3" spans="2:7" ht="15.6" collapsed="1">
      <c r="B3" s="45"/>
      <c r="C3" s="45"/>
      <c r="D3" s="46" t="s">
        <v>408</v>
      </c>
      <c r="E3" s="46" t="s">
        <v>409</v>
      </c>
      <c r="F3" s="46" t="s">
        <v>410</v>
      </c>
      <c r="G3" s="46" t="s">
        <v>411</v>
      </c>
    </row>
    <row r="4" spans="2:7" ht="20.399999999999999" hidden="1" outlineLevel="1">
      <c r="B4" s="47"/>
      <c r="C4" s="47"/>
      <c r="D4" s="48"/>
      <c r="E4" s="49" t="s">
        <v>412</v>
      </c>
      <c r="F4" s="49" t="s">
        <v>412</v>
      </c>
      <c r="G4" s="49" t="s">
        <v>412</v>
      </c>
    </row>
    <row r="5" spans="2:7">
      <c r="B5" s="50" t="s">
        <v>413</v>
      </c>
      <c r="C5" s="50"/>
      <c r="D5" s="51"/>
      <c r="E5" s="51"/>
      <c r="F5" s="51"/>
      <c r="G5" s="51"/>
    </row>
    <row r="6" spans="2:7" outlineLevel="1">
      <c r="B6" s="47"/>
      <c r="C6" s="47" t="s">
        <v>414</v>
      </c>
      <c r="D6" s="48">
        <v>2799.96</v>
      </c>
      <c r="E6" s="52">
        <v>2799.96</v>
      </c>
      <c r="F6" s="48">
        <v>2799.96</v>
      </c>
      <c r="G6" s="48">
        <v>2799.96</v>
      </c>
    </row>
    <row r="7" spans="2:7" outlineLevel="1">
      <c r="B7" s="47"/>
      <c r="C7" s="47" t="s">
        <v>415</v>
      </c>
      <c r="D7" s="48">
        <v>3499.95</v>
      </c>
      <c r="E7" s="48">
        <v>3499.95</v>
      </c>
      <c r="F7" s="52">
        <v>3499.95</v>
      </c>
      <c r="G7" s="48">
        <v>3499.95</v>
      </c>
    </row>
    <row r="8" spans="2:7" outlineLevel="1">
      <c r="B8" s="47"/>
      <c r="C8" s="47" t="s">
        <v>416</v>
      </c>
      <c r="D8" s="48">
        <v>999.96</v>
      </c>
      <c r="E8" s="48">
        <v>999.96</v>
      </c>
      <c r="F8" s="48">
        <v>999.96</v>
      </c>
      <c r="G8" s="52">
        <v>999.96</v>
      </c>
    </row>
    <row r="9" spans="2:7">
      <c r="B9" s="50" t="s">
        <v>417</v>
      </c>
      <c r="C9" s="50"/>
      <c r="D9" s="51"/>
      <c r="E9" s="51"/>
      <c r="F9" s="51"/>
      <c r="G9" s="51"/>
    </row>
    <row r="10" spans="2:7" outlineLevel="1">
      <c r="B10" s="53"/>
      <c r="C10" s="53" t="s">
        <v>418</v>
      </c>
      <c r="D10" s="54"/>
      <c r="E10" s="54"/>
      <c r="F10" s="54"/>
      <c r="G10" s="54"/>
    </row>
    <row r="11" spans="2:7">
      <c r="B11" t="s">
        <v>419</v>
      </c>
    </row>
    <row r="12" spans="2:7">
      <c r="B12" t="s">
        <v>420</v>
      </c>
    </row>
    <row r="13" spans="2:7">
      <c r="B13" t="s">
        <v>421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4506668294322"/>
  </sheetPr>
  <dimension ref="A2:O5"/>
  <sheetViews>
    <sheetView workbookViewId="0">
      <selection activeCell="Q6" sqref="Q6"/>
    </sheetView>
  </sheetViews>
  <sheetFormatPr defaultColWidth="9" defaultRowHeight="14.4"/>
  <cols>
    <col min="2" max="2" width="9.5546875" customWidth="1"/>
    <col min="13" max="13" width="9.5546875" customWidth="1"/>
    <col min="15" max="15" width="13.33203125" customWidth="1"/>
  </cols>
  <sheetData>
    <row r="2" spans="1:15" ht="43.2">
      <c r="A2" s="32" t="s">
        <v>0</v>
      </c>
      <c r="B2" s="5" t="s">
        <v>1</v>
      </c>
      <c r="C2" s="5" t="s">
        <v>2</v>
      </c>
      <c r="D2" s="5" t="s">
        <v>3</v>
      </c>
      <c r="E2" s="5" t="s">
        <v>4</v>
      </c>
      <c r="F2" s="5" t="s">
        <v>5</v>
      </c>
      <c r="G2" s="5" t="s">
        <v>6</v>
      </c>
      <c r="H2" s="5" t="s">
        <v>7</v>
      </c>
      <c r="I2" s="5" t="s">
        <v>8</v>
      </c>
      <c r="J2" s="5" t="s">
        <v>9</v>
      </c>
      <c r="K2" s="5" t="s">
        <v>10</v>
      </c>
      <c r="L2" s="5" t="s">
        <v>11</v>
      </c>
      <c r="M2" s="5" t="s">
        <v>12</v>
      </c>
      <c r="N2" s="6" t="s">
        <v>13</v>
      </c>
      <c r="O2" s="40" t="s">
        <v>422</v>
      </c>
    </row>
    <row r="3" spans="1:15" ht="28.8">
      <c r="A3" s="33" t="s">
        <v>30</v>
      </c>
      <c r="B3" s="34">
        <v>45399</v>
      </c>
      <c r="C3" s="35" t="s">
        <v>31</v>
      </c>
      <c r="D3" s="35" t="s">
        <v>32</v>
      </c>
      <c r="E3" s="35" t="s">
        <v>33</v>
      </c>
      <c r="F3" s="35" t="s">
        <v>34</v>
      </c>
      <c r="G3" s="35" t="s">
        <v>35</v>
      </c>
      <c r="H3" s="16">
        <v>3</v>
      </c>
      <c r="I3" s="16">
        <v>333.33333333333297</v>
      </c>
      <c r="J3" s="35" t="s">
        <v>36</v>
      </c>
      <c r="K3" s="35" t="s">
        <v>37</v>
      </c>
      <c r="L3" s="35" t="s">
        <v>38</v>
      </c>
      <c r="M3" s="34">
        <v>45262</v>
      </c>
      <c r="N3" s="9">
        <v>179.97</v>
      </c>
      <c r="O3" s="41">
        <f>H3*I3</f>
        <v>1000</v>
      </c>
    </row>
    <row r="4" spans="1:15" ht="28.8">
      <c r="A4" s="36" t="s">
        <v>39</v>
      </c>
      <c r="B4" s="37">
        <v>45400</v>
      </c>
      <c r="C4" s="38" t="s">
        <v>40</v>
      </c>
      <c r="D4" s="38" t="s">
        <v>41</v>
      </c>
      <c r="E4" s="38" t="s">
        <v>33</v>
      </c>
      <c r="F4" s="38" t="s">
        <v>34</v>
      </c>
      <c r="G4" s="38" t="s">
        <v>35</v>
      </c>
      <c r="H4" s="18">
        <v>3</v>
      </c>
      <c r="I4" s="18">
        <v>500</v>
      </c>
      <c r="J4" s="38" t="s">
        <v>22</v>
      </c>
      <c r="K4" s="38" t="s">
        <v>42</v>
      </c>
      <c r="L4" s="38" t="s">
        <v>29</v>
      </c>
      <c r="M4" s="37">
        <v>45114</v>
      </c>
      <c r="N4" s="12">
        <v>179.97</v>
      </c>
      <c r="O4" s="42">
        <f t="shared" ref="O4:O5" si="0">H4*I4</f>
        <v>1500</v>
      </c>
    </row>
    <row r="5" spans="1:15" ht="28.8">
      <c r="A5" s="33" t="s">
        <v>43</v>
      </c>
      <c r="B5" s="34">
        <v>45400</v>
      </c>
      <c r="C5" s="35" t="s">
        <v>44</v>
      </c>
      <c r="D5" s="35" t="s">
        <v>45</v>
      </c>
      <c r="E5" s="35" t="s">
        <v>46</v>
      </c>
      <c r="F5" s="35" t="s">
        <v>47</v>
      </c>
      <c r="G5" s="35" t="s">
        <v>48</v>
      </c>
      <c r="H5" s="39">
        <v>13.334222281485401</v>
      </c>
      <c r="I5" s="16">
        <v>149.99</v>
      </c>
      <c r="J5" s="35" t="s">
        <v>28</v>
      </c>
      <c r="K5" s="35" t="s">
        <v>42</v>
      </c>
      <c r="L5" s="35" t="s">
        <v>29</v>
      </c>
      <c r="M5" s="34">
        <v>45295</v>
      </c>
      <c r="N5" s="9">
        <v>749.95</v>
      </c>
      <c r="O5" s="41">
        <f t="shared" si="0"/>
        <v>2000</v>
      </c>
    </row>
  </sheetData>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iconSet" priority="1" id="{9621EDBD-7DDB-4EAE-9DE3-AAF771902F18}">
            <x14:iconSet iconSet="3Triangles">
              <x14:cfvo type="percent">
                <xm:f>0</xm:f>
              </x14:cfvo>
              <x14:cfvo type="percent">
                <xm:f>33</xm:f>
              </x14:cfvo>
              <x14:cfvo type="percent">
                <xm:f>67</xm:f>
              </x14:cfvo>
            </x14:iconSet>
          </x14:cfRule>
          <xm:sqref>N2</xm:sqref>
        </x14:conditionalFormatting>
        <x14:conditionalFormatting xmlns:xm="http://schemas.microsoft.com/office/excel/2006/main">
          <x14:cfRule type="iconSet" priority="2" id="{949E504A-6808-4D85-9DED-5F1035EAFAA6}">
            <x14:iconSet iconSet="3Triangles">
              <x14:cfvo type="percent">
                <xm:f>0</xm:f>
              </x14:cfvo>
              <x14:cfvo type="percent">
                <xm:f>33</xm:f>
              </x14:cfvo>
              <x14:cfvo type="percent">
                <xm:f>67</xm:f>
              </x14:cfvo>
            </x14:iconSet>
          </x14:cfRule>
          <xm:sqref>N3:N5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Q18"/>
  <sheetViews>
    <sheetView topLeftCell="B1" workbookViewId="0">
      <selection activeCell="K20" sqref="K20"/>
    </sheetView>
  </sheetViews>
  <sheetFormatPr defaultColWidth="8.88671875" defaultRowHeight="14.4"/>
  <cols>
    <col min="1" max="1" width="17.44140625" style="15" customWidth="1"/>
    <col min="2" max="2" width="12.77734375" style="15" customWidth="1"/>
    <col min="3" max="3" width="13.5546875" style="15" customWidth="1"/>
    <col min="4" max="4" width="11.6640625" style="15" customWidth="1"/>
    <col min="5" max="5" width="12.109375" style="15" customWidth="1"/>
    <col min="6" max="6" width="12.77734375" style="15" customWidth="1"/>
    <col min="7" max="7" width="12.109375" style="15" customWidth="1"/>
    <col min="8" max="8" width="15.44140625" style="15" customWidth="1"/>
    <col min="9" max="9" width="12.21875" style="15" customWidth="1"/>
    <col min="10" max="10" width="8.88671875" style="15"/>
    <col min="11" max="11" width="11.5546875" style="15" customWidth="1"/>
    <col min="12" max="12" width="10.33203125" style="15" customWidth="1"/>
    <col min="13" max="13" width="8.88671875" style="15"/>
    <col min="14" max="14" width="11.21875" style="15" customWidth="1"/>
    <col min="15" max="15" width="11.33203125" style="15" customWidth="1"/>
    <col min="16" max="16" width="13" style="15" customWidth="1"/>
    <col min="17" max="17" width="15.88671875" style="15" customWidth="1"/>
    <col min="18" max="16384" width="8.88671875" style="15"/>
  </cols>
  <sheetData>
    <row r="1" spans="1:17">
      <c r="A1" s="15" t="s">
        <v>423</v>
      </c>
      <c r="G1" s="5" t="s">
        <v>7</v>
      </c>
      <c r="H1" s="6" t="s">
        <v>13</v>
      </c>
      <c r="I1" s="6" t="s">
        <v>424</v>
      </c>
    </row>
    <row r="2" spans="1:17">
      <c r="G2" s="16">
        <v>5</v>
      </c>
      <c r="H2" s="9">
        <v>749.97</v>
      </c>
      <c r="I2" s="15">
        <f>(($K$12*G2)+$K$13)</f>
        <v>430.86821229050298</v>
      </c>
      <c r="J2" s="82" t="s">
        <v>425</v>
      </c>
      <c r="K2" s="83"/>
      <c r="L2" s="83"/>
      <c r="M2" s="83"/>
      <c r="N2" s="83"/>
      <c r="O2" s="83"/>
      <c r="P2" s="83"/>
      <c r="Q2" s="84"/>
    </row>
    <row r="3" spans="1:17" ht="45" customHeight="1">
      <c r="A3" s="17" t="s">
        <v>426</v>
      </c>
      <c r="B3" s="17"/>
      <c r="G3" s="18">
        <v>14</v>
      </c>
      <c r="H3" s="12">
        <v>1499.94</v>
      </c>
      <c r="I3" s="15">
        <f t="shared" ref="I3:I8" si="0">(($K$12*G3)+$K$13)</f>
        <v>887.87413407821202</v>
      </c>
      <c r="J3" s="26" t="s">
        <v>427</v>
      </c>
      <c r="K3" s="26" t="s">
        <v>428</v>
      </c>
      <c r="L3" s="26" t="s">
        <v>429</v>
      </c>
      <c r="M3" s="26" t="s">
        <v>430</v>
      </c>
      <c r="N3" s="26" t="s">
        <v>431</v>
      </c>
      <c r="O3" s="26" t="s">
        <v>432</v>
      </c>
      <c r="P3" s="26" t="s">
        <v>433</v>
      </c>
      <c r="Q3" s="26" t="s">
        <v>434</v>
      </c>
    </row>
    <row r="4" spans="1:17">
      <c r="A4" s="19" t="s">
        <v>435</v>
      </c>
      <c r="B4" s="19">
        <v>0.45808036093237797</v>
      </c>
      <c r="G4" s="16">
        <v>10</v>
      </c>
      <c r="H4" s="9">
        <v>179.97</v>
      </c>
      <c r="I4" s="15">
        <f t="shared" si="0"/>
        <v>684.76039106145197</v>
      </c>
      <c r="J4" s="88">
        <f>AVERAGE(G2:G5)</f>
        <v>10.25</v>
      </c>
      <c r="K4" s="91">
        <f>AVERAGE(H2:H5)</f>
        <v>697.45500000000004</v>
      </c>
      <c r="L4" s="27">
        <f>$J$4-G2</f>
        <v>5.25</v>
      </c>
      <c r="M4" s="28">
        <f>$K$4-H2</f>
        <v>-52.5150000000001</v>
      </c>
      <c r="N4" s="27">
        <f>M4*L4</f>
        <v>-275.70375000000098</v>
      </c>
      <c r="O4" s="88">
        <f>SUM(N4:N7)</f>
        <v>2272.335</v>
      </c>
      <c r="P4" s="27">
        <f>L4*L4</f>
        <v>27.5625</v>
      </c>
      <c r="Q4" s="88">
        <f>SUM(P4:P7)</f>
        <v>44.75</v>
      </c>
    </row>
    <row r="5" spans="1:17">
      <c r="A5" s="19" t="s">
        <v>436</v>
      </c>
      <c r="B5" s="19">
        <v>0.20983761707193799</v>
      </c>
      <c r="G5" s="18">
        <v>12</v>
      </c>
      <c r="H5" s="12">
        <v>359.94</v>
      </c>
      <c r="I5" s="15">
        <f t="shared" si="0"/>
        <v>786.317262569832</v>
      </c>
      <c r="J5" s="89"/>
      <c r="K5" s="92"/>
      <c r="L5" s="27">
        <f>$J$4-G3</f>
        <v>-3.75</v>
      </c>
      <c r="M5" s="28">
        <f t="shared" ref="M5:M7" si="1">$K$4-H3</f>
        <v>-802.48500000000001</v>
      </c>
      <c r="N5" s="27">
        <f t="shared" ref="N5:N7" si="2">M5*L5</f>
        <v>3009.3187499999999</v>
      </c>
      <c r="O5" s="89"/>
      <c r="P5" s="27">
        <f t="shared" ref="P5:P7" si="3">L5*L5</f>
        <v>14.0625</v>
      </c>
      <c r="Q5" s="89"/>
    </row>
    <row r="6" spans="1:17">
      <c r="A6" s="19" t="s">
        <v>437</v>
      </c>
      <c r="B6" s="19">
        <v>0.20665147843109899</v>
      </c>
      <c r="G6" s="16">
        <v>4</v>
      </c>
      <c r="H6" s="20"/>
      <c r="I6" s="15">
        <f t="shared" si="0"/>
        <v>380.08977653631302</v>
      </c>
      <c r="J6" s="89"/>
      <c r="K6" s="92"/>
      <c r="L6" s="27">
        <f>$J$4-G4</f>
        <v>0.25</v>
      </c>
      <c r="M6" s="28">
        <f t="shared" si="1"/>
        <v>517.48500000000001</v>
      </c>
      <c r="N6" s="27">
        <f t="shared" si="2"/>
        <v>129.37125</v>
      </c>
      <c r="O6" s="89"/>
      <c r="P6" s="27">
        <f t="shared" si="3"/>
        <v>6.25E-2</v>
      </c>
      <c r="Q6" s="89"/>
    </row>
    <row r="7" spans="1:17">
      <c r="A7" s="19" t="s">
        <v>438</v>
      </c>
      <c r="B7" s="19">
        <v>919.60715349471104</v>
      </c>
      <c r="G7" s="18">
        <v>2</v>
      </c>
      <c r="H7" s="21"/>
      <c r="I7" s="15">
        <f t="shared" si="0"/>
        <v>278.532905027933</v>
      </c>
      <c r="J7" s="90"/>
      <c r="K7" s="93"/>
      <c r="L7" s="27">
        <f>$J$4-G5</f>
        <v>-1.75</v>
      </c>
      <c r="M7" s="28">
        <f t="shared" si="1"/>
        <v>337.51499999999999</v>
      </c>
      <c r="N7" s="27">
        <f t="shared" si="2"/>
        <v>-590.65125</v>
      </c>
      <c r="O7" s="90"/>
      <c r="P7" s="27">
        <f t="shared" si="3"/>
        <v>3.0625</v>
      </c>
      <c r="Q7" s="90"/>
    </row>
    <row r="8" spans="1:17">
      <c r="A8" s="22" t="s">
        <v>439</v>
      </c>
      <c r="B8" s="22">
        <v>250</v>
      </c>
      <c r="G8" s="16">
        <v>5</v>
      </c>
      <c r="H8" s="20"/>
      <c r="I8" s="15">
        <f t="shared" si="0"/>
        <v>430.86821229050298</v>
      </c>
      <c r="J8" s="29"/>
      <c r="K8" s="29"/>
      <c r="L8" s="29"/>
      <c r="M8" s="29"/>
      <c r="N8" s="29"/>
      <c r="O8" s="29"/>
      <c r="P8" s="30"/>
      <c r="Q8" s="30"/>
    </row>
    <row r="9" spans="1:17" ht="37.799999999999997" customHeight="1">
      <c r="G9" s="23"/>
      <c r="H9" s="21"/>
      <c r="J9" s="85" t="s">
        <v>440</v>
      </c>
      <c r="K9" s="86"/>
      <c r="L9" s="86"/>
      <c r="M9" s="86"/>
      <c r="N9" s="86"/>
      <c r="O9" s="87"/>
      <c r="P9" s="30"/>
      <c r="Q9" s="30"/>
    </row>
    <row r="10" spans="1:17">
      <c r="A10" s="15" t="s">
        <v>441</v>
      </c>
      <c r="G10" s="24"/>
      <c r="H10" s="20"/>
      <c r="J10" s="85" t="s">
        <v>442</v>
      </c>
      <c r="K10" s="86"/>
      <c r="L10" s="86"/>
      <c r="M10" s="86"/>
      <c r="N10" s="86"/>
      <c r="O10" s="87"/>
      <c r="P10" s="30"/>
      <c r="Q10" s="30"/>
    </row>
    <row r="11" spans="1:17">
      <c r="A11" s="25"/>
      <c r="B11" s="25" t="s">
        <v>443</v>
      </c>
      <c r="C11" s="25" t="s">
        <v>444</v>
      </c>
      <c r="D11" s="25" t="s">
        <v>445</v>
      </c>
      <c r="E11" s="25" t="s">
        <v>446</v>
      </c>
      <c r="F11" s="25" t="s">
        <v>447</v>
      </c>
      <c r="G11" s="23"/>
      <c r="H11" s="21"/>
      <c r="J11" s="29"/>
      <c r="K11" s="29"/>
      <c r="L11" s="30"/>
      <c r="M11" s="30"/>
      <c r="N11" s="30"/>
      <c r="O11" s="30"/>
      <c r="P11" s="30"/>
      <c r="Q11" s="30"/>
    </row>
    <row r="12" spans="1:17" ht="28.8">
      <c r="A12" s="19" t="s">
        <v>448</v>
      </c>
      <c r="B12" s="19">
        <v>1</v>
      </c>
      <c r="C12" s="19">
        <v>55695916.896352597</v>
      </c>
      <c r="D12" s="19">
        <v>55695916.896352597</v>
      </c>
      <c r="E12" s="19">
        <v>65.859537429508904</v>
      </c>
      <c r="F12" s="19">
        <v>2.2586478953134699E-14</v>
      </c>
      <c r="G12" s="24"/>
      <c r="J12" s="31" t="s">
        <v>449</v>
      </c>
      <c r="K12" s="27">
        <f>O4/Q4</f>
        <v>50.7784357541899</v>
      </c>
      <c r="L12" s="30"/>
      <c r="M12" s="30"/>
      <c r="N12" s="30"/>
      <c r="O12" s="30"/>
      <c r="P12" s="30"/>
      <c r="Q12" s="30"/>
    </row>
    <row r="13" spans="1:17" ht="43.2">
      <c r="A13" s="19" t="s">
        <v>450</v>
      </c>
      <c r="B13" s="19">
        <v>248</v>
      </c>
      <c r="C13" s="19">
        <v>209727974.556144</v>
      </c>
      <c r="D13" s="19">
        <v>845677.316758645</v>
      </c>
      <c r="E13" s="19"/>
      <c r="F13" s="19"/>
      <c r="G13" s="23"/>
      <c r="J13" s="31" t="s">
        <v>451</v>
      </c>
      <c r="K13" s="27">
        <f>K4-(K12*J4)</f>
        <v>176.976033519553</v>
      </c>
      <c r="L13" s="30"/>
      <c r="M13" s="30"/>
      <c r="N13" s="30"/>
      <c r="O13" s="30"/>
      <c r="P13" s="30"/>
      <c r="Q13" s="30"/>
    </row>
    <row r="14" spans="1:17">
      <c r="A14" s="22" t="s">
        <v>452</v>
      </c>
      <c r="B14" s="22">
        <v>249</v>
      </c>
      <c r="C14" s="22">
        <v>265423891.45249599</v>
      </c>
      <c r="D14" s="22"/>
      <c r="E14" s="22"/>
      <c r="F14" s="22"/>
    </row>
    <row r="16" spans="1:17">
      <c r="A16" s="25"/>
      <c r="B16" s="25" t="s">
        <v>453</v>
      </c>
      <c r="C16" s="25" t="s">
        <v>438</v>
      </c>
      <c r="D16" s="25" t="s">
        <v>454</v>
      </c>
      <c r="E16" s="25" t="s">
        <v>455</v>
      </c>
      <c r="F16" s="25" t="s">
        <v>456</v>
      </c>
      <c r="G16" s="25" t="s">
        <v>457</v>
      </c>
      <c r="H16" s="25" t="s">
        <v>458</v>
      </c>
      <c r="I16" s="25" t="s">
        <v>459</v>
      </c>
    </row>
    <row r="17" spans="1:9">
      <c r="A17" s="19" t="s">
        <v>460</v>
      </c>
      <c r="B17" s="19">
        <v>-148.85464891541901</v>
      </c>
      <c r="C17" s="19">
        <v>143.61334429876501</v>
      </c>
      <c r="D17" s="19">
        <v>-1.0364959443166399</v>
      </c>
      <c r="E17" s="19">
        <v>0.30098040367911699</v>
      </c>
      <c r="F17" s="19">
        <v>-431.71199538208901</v>
      </c>
      <c r="G17" s="19">
        <v>134.002697551251</v>
      </c>
      <c r="H17" s="19">
        <v>-431.71199538208901</v>
      </c>
      <c r="I17" s="19">
        <v>134.002697551251</v>
      </c>
    </row>
    <row r="18" spans="1:9">
      <c r="A18" s="22" t="s">
        <v>7</v>
      </c>
      <c r="B18" s="22">
        <v>353.79300428798803</v>
      </c>
      <c r="C18" s="22">
        <v>43.595323340526903</v>
      </c>
      <c r="D18" s="22">
        <v>8.1153889265708692</v>
      </c>
      <c r="E18" s="22">
        <v>2.25864789531338E-14</v>
      </c>
      <c r="F18" s="22">
        <v>267.92871682452898</v>
      </c>
      <c r="G18" s="22">
        <v>439.65729175144799</v>
      </c>
      <c r="H18" s="22">
        <v>267.92871682452898</v>
      </c>
      <c r="I18" s="22">
        <v>439.65729175144799</v>
      </c>
    </row>
  </sheetData>
  <mergeCells count="7">
    <mergeCell ref="J2:Q2"/>
    <mergeCell ref="J9:O9"/>
    <mergeCell ref="J10:O10"/>
    <mergeCell ref="J4:J7"/>
    <mergeCell ref="K4:K7"/>
    <mergeCell ref="O4:O7"/>
    <mergeCell ref="Q4:Q7"/>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BA01BB7F-A6E8-4A5E-89DC-D204BD4D6868}">
            <x14:iconSet iconSet="3Triangles">
              <x14:cfvo type="percent">
                <xm:f>0</xm:f>
              </x14:cfvo>
              <x14:cfvo type="percent">
                <xm:f>33</xm:f>
              </x14:cfvo>
              <x14:cfvo type="percent">
                <xm:f>67</xm:f>
              </x14:cfvo>
            </x14:iconSet>
          </x14:cfRule>
          <xm:sqref>H1</xm:sqref>
        </x14:conditionalFormatting>
        <x14:conditionalFormatting xmlns:xm="http://schemas.microsoft.com/office/excel/2006/main">
          <x14:cfRule type="iconSet" priority="1" id="{BD8427E8-DCBC-447E-8B3E-5A2858503D5C}">
            <x14:iconSet iconSet="3Triangles">
              <x14:cfvo type="percent">
                <xm:f>0</xm:f>
              </x14:cfvo>
              <x14:cfvo type="percent">
                <xm:f>33</xm:f>
              </x14:cfvo>
              <x14:cfvo type="percent">
                <xm:f>67</xm:f>
              </x14:cfvo>
            </x14:iconSet>
          </x14:cfRule>
          <xm:sqref>I1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F251"/>
  <sheetViews>
    <sheetView topLeftCell="A212" workbookViewId="0">
      <selection activeCell="A239" sqref="A239"/>
    </sheetView>
  </sheetViews>
  <sheetFormatPr defaultColWidth="9" defaultRowHeight="14.4"/>
  <cols>
    <col min="1" max="1" width="17.44140625" customWidth="1"/>
    <col min="2" max="2" width="19.77734375" customWidth="1"/>
    <col min="4" max="4" width="18.44140625" customWidth="1"/>
    <col min="5" max="5" width="9.6640625" customWidth="1"/>
    <col min="6" max="6" width="11" customWidth="1"/>
  </cols>
  <sheetData>
    <row r="1" spans="1:6" ht="28.8">
      <c r="A1" t="s">
        <v>3</v>
      </c>
      <c r="B1" t="s">
        <v>461</v>
      </c>
      <c r="D1" s="5" t="s">
        <v>3</v>
      </c>
      <c r="E1" s="6" t="s">
        <v>13</v>
      </c>
      <c r="F1" s="7" t="s">
        <v>462</v>
      </c>
    </row>
    <row r="2" spans="1:6">
      <c r="A2" s="2" t="s">
        <v>328</v>
      </c>
      <c r="B2" s="3">
        <v>1559.94</v>
      </c>
      <c r="D2" s="8" t="s">
        <v>18</v>
      </c>
      <c r="E2" s="9">
        <v>749.97</v>
      </c>
      <c r="F2" s="10" t="str">
        <f>IF(SUMIF(RawData!D:D,RawData!D2,RawData!N:N)&gt;5000,"High Value","Normal")</f>
        <v>High Value</v>
      </c>
    </row>
    <row r="3" spans="1:6">
      <c r="A3" s="2" t="s">
        <v>99</v>
      </c>
      <c r="B3" s="3">
        <v>10649.8</v>
      </c>
      <c r="D3" s="11" t="s">
        <v>27</v>
      </c>
      <c r="E3" s="12">
        <v>749.97</v>
      </c>
      <c r="F3" s="11" t="str">
        <f>IF(SUMIF(RawData!D:D,RawData!D3,RawData!N:N)&gt;5000,"High Value","Normal")</f>
        <v>High Value</v>
      </c>
    </row>
    <row r="4" spans="1:6">
      <c r="A4" s="2" t="s">
        <v>161</v>
      </c>
      <c r="B4" s="3">
        <v>5649.84</v>
      </c>
      <c r="D4" s="8" t="s">
        <v>32</v>
      </c>
      <c r="E4" s="9">
        <v>179.97</v>
      </c>
      <c r="F4" s="8" t="str">
        <f>IF(SUMIF(RawData!D:D,RawData!D4,RawData!N:N)&gt;5000,"High Value","Normal")</f>
        <v>Normal</v>
      </c>
    </row>
    <row r="5" spans="1:6">
      <c r="A5" s="2" t="s">
        <v>234</v>
      </c>
      <c r="B5" s="3">
        <v>1149.93</v>
      </c>
      <c r="D5" s="11" t="s">
        <v>41</v>
      </c>
      <c r="E5" s="12">
        <v>179.97</v>
      </c>
      <c r="F5" s="11" t="str">
        <f>IF(SUMIF(RawData!D:D,RawData!D5,RawData!N:N)&gt;5000,"High Value","Normal")</f>
        <v>Normal</v>
      </c>
    </row>
    <row r="6" spans="1:6">
      <c r="A6" s="2" t="s">
        <v>58</v>
      </c>
      <c r="B6" s="3">
        <v>5089.7299999999996</v>
      </c>
      <c r="D6" s="8" t="s">
        <v>45</v>
      </c>
      <c r="E6" s="9">
        <v>749.95</v>
      </c>
      <c r="F6" s="8" t="str">
        <f>IF(SUMIF(RawData!D:D,RawData!D6,RawData!N:N)&gt;5000,"High Value","Normal")</f>
        <v>High Value</v>
      </c>
    </row>
    <row r="7" spans="1:6">
      <c r="A7" s="2" t="s">
        <v>105</v>
      </c>
      <c r="B7" s="3">
        <v>3769.83</v>
      </c>
      <c r="D7" s="11" t="s">
        <v>51</v>
      </c>
      <c r="E7" s="12">
        <v>119.98</v>
      </c>
      <c r="F7" s="11" t="str">
        <f>IF(SUMIF(RawData!D:D,RawData!D7,RawData!N:N)&gt;5000,"High Value","Normal")</f>
        <v>High Value</v>
      </c>
    </row>
    <row r="8" spans="1:6">
      <c r="A8" s="2" t="s">
        <v>150</v>
      </c>
      <c r="B8" s="3">
        <v>7309.8</v>
      </c>
      <c r="D8" s="8" t="s">
        <v>51</v>
      </c>
      <c r="E8" s="9">
        <v>749.95</v>
      </c>
      <c r="F8" s="8" t="str">
        <f>IF(SUMIF(RawData!D:D,RawData!D8,RawData!N:N)&gt;5000,"High Value","Normal")</f>
        <v>High Value</v>
      </c>
    </row>
    <row r="9" spans="1:6">
      <c r="A9" s="2" t="s">
        <v>185</v>
      </c>
      <c r="B9" s="3">
        <v>1809.84</v>
      </c>
      <c r="D9" s="11" t="s">
        <v>58</v>
      </c>
      <c r="E9" s="12">
        <v>179.97</v>
      </c>
      <c r="F9" s="11" t="str">
        <f>IF(SUMIF(RawData!D:D,RawData!D9,RawData!N:N)&gt;5000,"High Value","Normal")</f>
        <v>High Value</v>
      </c>
    </row>
    <row r="10" spans="1:6">
      <c r="A10" s="2" t="s">
        <v>78</v>
      </c>
      <c r="B10" s="3">
        <v>479.92</v>
      </c>
      <c r="D10" s="8" t="s">
        <v>62</v>
      </c>
      <c r="E10" s="9">
        <v>2699.97</v>
      </c>
      <c r="F10" s="8" t="str">
        <f>IF(SUMIF(RawData!D:D,RawData!D10,RawData!N:N)&gt;5000,"High Value","Normal")</f>
        <v>Normal</v>
      </c>
    </row>
    <row r="11" spans="1:6">
      <c r="A11" s="2" t="s">
        <v>51</v>
      </c>
      <c r="B11" s="3">
        <v>8269.7900000000009</v>
      </c>
      <c r="D11" s="11" t="s">
        <v>68</v>
      </c>
      <c r="E11" s="12">
        <v>179.97</v>
      </c>
      <c r="F11" s="11" t="str">
        <f>IF(SUMIF(RawData!D:D,RawData!D11,RawData!N:N)&gt;5000,"High Value","Normal")</f>
        <v>High Value</v>
      </c>
    </row>
    <row r="12" spans="1:6">
      <c r="A12" s="2" t="s">
        <v>296</v>
      </c>
      <c r="B12" s="3">
        <v>4829.8900000000003</v>
      </c>
      <c r="D12" s="8" t="s">
        <v>71</v>
      </c>
      <c r="E12" s="9">
        <v>149.99</v>
      </c>
      <c r="F12" s="8" t="str">
        <f>IF(SUMIF(RawData!D:D,RawData!D12,RawData!N:N)&gt;5000,"High Value","Normal")</f>
        <v>Normal</v>
      </c>
    </row>
    <row r="13" spans="1:6">
      <c r="A13" s="2" t="s">
        <v>126</v>
      </c>
      <c r="B13" s="3">
        <v>11919.77</v>
      </c>
      <c r="D13" s="11" t="s">
        <v>41</v>
      </c>
      <c r="E13" s="12">
        <v>749.95</v>
      </c>
      <c r="F13" s="11" t="str">
        <f>IF(SUMIF(RawData!D:D,RawData!D13,RawData!N:N)&gt;5000,"High Value","Normal")</f>
        <v>Normal</v>
      </c>
    </row>
    <row r="14" spans="1:6">
      <c r="A14" s="2" t="s">
        <v>214</v>
      </c>
      <c r="B14" s="3">
        <v>3649.86</v>
      </c>
      <c r="D14" s="8" t="s">
        <v>75</v>
      </c>
      <c r="E14" s="9">
        <v>449.97</v>
      </c>
      <c r="F14" s="8" t="str">
        <f>IF(SUMIF(RawData!D:D,RawData!D14,RawData!N:N)&gt;5000,"High Value","Normal")</f>
        <v>High Value</v>
      </c>
    </row>
    <row r="15" spans="1:6">
      <c r="A15" s="2" t="s">
        <v>135</v>
      </c>
      <c r="B15" s="3">
        <v>1229.8800000000001</v>
      </c>
      <c r="D15" s="11" t="s">
        <v>78</v>
      </c>
      <c r="E15" s="12">
        <v>179.97</v>
      </c>
      <c r="F15" s="11" t="str">
        <f>IF(SUMIF(RawData!D:D,RawData!D15,RawData!N:N)&gt;5000,"High Value","Normal")</f>
        <v>Normal</v>
      </c>
    </row>
    <row r="16" spans="1:6">
      <c r="A16" s="2" t="s">
        <v>195</v>
      </c>
      <c r="B16" s="3">
        <v>1479.91</v>
      </c>
      <c r="D16" s="8" t="s">
        <v>81</v>
      </c>
      <c r="E16" s="9">
        <v>2099.9699999999998</v>
      </c>
      <c r="F16" s="8" t="str">
        <f>IF(SUMIF(RawData!D:D,RawData!D16,RawData!N:N)&gt;5000,"High Value","Normal")</f>
        <v>Normal</v>
      </c>
    </row>
    <row r="17" spans="1:6">
      <c r="A17" s="2" t="s">
        <v>86</v>
      </c>
      <c r="B17" s="3">
        <v>3779.93</v>
      </c>
      <c r="D17" s="11" t="s">
        <v>86</v>
      </c>
      <c r="E17" s="12">
        <v>899.99</v>
      </c>
      <c r="F17" s="11" t="str">
        <f>IF(SUMIF(RawData!D:D,RawData!D17,RawData!N:N)&gt;5000,"High Value","Normal")</f>
        <v>Normal</v>
      </c>
    </row>
    <row r="18" spans="1:6">
      <c r="A18" s="2" t="s">
        <v>199</v>
      </c>
      <c r="B18" s="3">
        <v>6379.87</v>
      </c>
      <c r="D18" s="8" t="s">
        <v>89</v>
      </c>
      <c r="E18" s="9">
        <v>599.96</v>
      </c>
      <c r="F18" s="8" t="str">
        <f>IF(SUMIF(RawData!D:D,RawData!D18,RawData!N:N)&gt;5000,"High Value","Normal")</f>
        <v>High Value</v>
      </c>
    </row>
    <row r="19" spans="1:6">
      <c r="A19" s="2" t="s">
        <v>147</v>
      </c>
      <c r="B19" s="3">
        <v>5519.89</v>
      </c>
      <c r="D19" s="11" t="s">
        <v>92</v>
      </c>
      <c r="E19" s="12">
        <v>1399.98</v>
      </c>
      <c r="F19" s="11" t="str">
        <f>IF(SUMIF(RawData!D:D,RawData!D19,RawData!N:N)&gt;5000,"High Value","Normal")</f>
        <v>Normal</v>
      </c>
    </row>
    <row r="20" spans="1:6">
      <c r="A20" s="2" t="s">
        <v>123</v>
      </c>
      <c r="B20" s="3">
        <v>6459.79</v>
      </c>
      <c r="D20" s="8" t="s">
        <v>89</v>
      </c>
      <c r="E20" s="9">
        <v>3599.96</v>
      </c>
      <c r="F20" s="8" t="str">
        <f>IF(SUMIF(RawData!D:D,RawData!D20,RawData!N:N)&gt;5000,"High Value","Normal")</f>
        <v>High Value</v>
      </c>
    </row>
    <row r="21" spans="1:6">
      <c r="A21" s="2" t="s">
        <v>307</v>
      </c>
      <c r="B21" s="3">
        <v>179.97</v>
      </c>
      <c r="D21" s="11" t="s">
        <v>96</v>
      </c>
      <c r="E21" s="12">
        <v>749.97</v>
      </c>
      <c r="F21" s="11" t="str">
        <f>IF(SUMIF(RawData!D:D,RawData!D21,RawData!N:N)&gt;5000,"High Value","Normal")</f>
        <v>Normal</v>
      </c>
    </row>
    <row r="22" spans="1:6">
      <c r="A22" s="2" t="s">
        <v>144</v>
      </c>
      <c r="B22" s="3">
        <v>4739.8500000000004</v>
      </c>
      <c r="D22" s="8" t="s">
        <v>99</v>
      </c>
      <c r="E22" s="9">
        <v>3499.95</v>
      </c>
      <c r="F22" s="8" t="str">
        <f>IF(SUMIF(RawData!D:D,RawData!D22,RawData!N:N)&gt;5000,"High Value","Normal")</f>
        <v>High Value</v>
      </c>
    </row>
    <row r="23" spans="1:6">
      <c r="A23" s="2" t="s">
        <v>389</v>
      </c>
      <c r="B23" s="3">
        <v>599.96</v>
      </c>
      <c r="D23" s="11" t="s">
        <v>102</v>
      </c>
      <c r="E23" s="12">
        <v>2799.96</v>
      </c>
      <c r="F23" s="11" t="str">
        <f>IF(SUMIF(RawData!D:D,RawData!D23,RawData!N:N)&gt;5000,"High Value","Normal")</f>
        <v>High Value</v>
      </c>
    </row>
    <row r="24" spans="1:6">
      <c r="A24" s="2" t="s">
        <v>27</v>
      </c>
      <c r="B24" s="3">
        <v>6949.84</v>
      </c>
      <c r="D24" s="8" t="s">
        <v>105</v>
      </c>
      <c r="E24" s="9">
        <v>999.96</v>
      </c>
      <c r="F24" s="8" t="str">
        <f>IF(SUMIF(RawData!D:D,RawData!D24,RawData!N:N)&gt;5000,"High Value","Normal")</f>
        <v>Normal</v>
      </c>
    </row>
    <row r="25" spans="1:6">
      <c r="A25" s="2" t="s">
        <v>165</v>
      </c>
      <c r="B25" s="3">
        <v>239.96</v>
      </c>
      <c r="D25" s="11" t="s">
        <v>89</v>
      </c>
      <c r="E25" s="12">
        <v>1199.96</v>
      </c>
      <c r="F25" s="11" t="str">
        <f>IF(SUMIF(RawData!D:D,RawData!D25,RawData!N:N)&gt;5000,"High Value","Normal")</f>
        <v>High Value</v>
      </c>
    </row>
    <row r="26" spans="1:6">
      <c r="A26" s="2" t="s">
        <v>68</v>
      </c>
      <c r="B26" s="3">
        <v>8009.77</v>
      </c>
      <c r="D26" s="8" t="s">
        <v>111</v>
      </c>
      <c r="E26" s="9">
        <v>1249.95</v>
      </c>
      <c r="F26" s="8" t="str">
        <f>IF(SUMIF(RawData!D:D,RawData!D26,RawData!N:N)&gt;5000,"High Value","Normal")</f>
        <v>Normal</v>
      </c>
    </row>
    <row r="27" spans="1:6">
      <c r="A27" s="2" t="s">
        <v>41</v>
      </c>
      <c r="B27" s="3">
        <v>4309.8100000000004</v>
      </c>
      <c r="D27" s="11" t="s">
        <v>71</v>
      </c>
      <c r="E27" s="12">
        <v>1499.95</v>
      </c>
      <c r="F27" s="11" t="str">
        <f>IF(SUMIF(RawData!D:D,RawData!D27,RawData!N:N)&gt;5000,"High Value","Normal")</f>
        <v>Normal</v>
      </c>
    </row>
    <row r="28" spans="1:6">
      <c r="A28" s="2" t="s">
        <v>32</v>
      </c>
      <c r="B28" s="3">
        <v>3259.87</v>
      </c>
      <c r="D28" s="8" t="s">
        <v>115</v>
      </c>
      <c r="E28" s="9">
        <v>239.97</v>
      </c>
      <c r="F28" s="8" t="str">
        <f>IF(SUMIF(RawData!D:D,RawData!D28,RawData!N:N)&gt;5000,"High Value","Normal")</f>
        <v>Normal</v>
      </c>
    </row>
    <row r="29" spans="1:6">
      <c r="A29" s="2" t="s">
        <v>229</v>
      </c>
      <c r="B29" s="3">
        <v>6989.77</v>
      </c>
      <c r="D29" s="11" t="s">
        <v>102</v>
      </c>
      <c r="E29" s="12">
        <v>449.95</v>
      </c>
      <c r="F29" s="11" t="str">
        <f>IF(SUMIF(RawData!D:D,RawData!D29,RawData!N:N)&gt;5000,"High Value","Normal")</f>
        <v>High Value</v>
      </c>
    </row>
    <row r="30" spans="1:6">
      <c r="A30" s="2" t="s">
        <v>115</v>
      </c>
      <c r="B30" s="3">
        <v>1289.9000000000001</v>
      </c>
      <c r="D30" s="8" t="s">
        <v>123</v>
      </c>
      <c r="E30" s="9">
        <v>119.98</v>
      </c>
      <c r="F30" s="8" t="str">
        <f>IF(SUMIF(RawData!D:D,RawData!D30,RawData!N:N)&gt;5000,"High Value","Normal")</f>
        <v>High Value</v>
      </c>
    </row>
    <row r="31" spans="1:6">
      <c r="A31" s="2" t="s">
        <v>132</v>
      </c>
      <c r="B31" s="3">
        <v>2039.8</v>
      </c>
      <c r="D31" s="11" t="s">
        <v>126</v>
      </c>
      <c r="E31" s="12">
        <v>239.96</v>
      </c>
      <c r="F31" s="11" t="str">
        <f>IF(SUMIF(RawData!D:D,RawData!D31,RawData!N:N)&gt;5000,"High Value","Normal")</f>
        <v>High Value</v>
      </c>
    </row>
    <row r="32" spans="1:6">
      <c r="A32" s="2" t="s">
        <v>188</v>
      </c>
      <c r="B32" s="3">
        <v>2099.88</v>
      </c>
      <c r="D32" s="8" t="s">
        <v>58</v>
      </c>
      <c r="E32" s="9">
        <v>999.95</v>
      </c>
      <c r="F32" s="8" t="str">
        <f>IF(SUMIF(RawData!D:D,RawData!D32,RawData!N:N)&gt;5000,"High Value","Normal")</f>
        <v>High Value</v>
      </c>
    </row>
    <row r="33" spans="1:6">
      <c r="A33" s="2" t="s">
        <v>92</v>
      </c>
      <c r="B33" s="3">
        <v>1909.93</v>
      </c>
      <c r="D33" s="11" t="s">
        <v>132</v>
      </c>
      <c r="E33" s="12">
        <v>299.98</v>
      </c>
      <c r="F33" s="11" t="str">
        <f>IF(SUMIF(RawData!D:D,RawData!D33,RawData!N:N)&gt;5000,"High Value","Normal")</f>
        <v>Normal</v>
      </c>
    </row>
    <row r="34" spans="1:6">
      <c r="A34" s="2" t="s">
        <v>89</v>
      </c>
      <c r="B34" s="3">
        <v>15659.65</v>
      </c>
      <c r="D34" s="8" t="s">
        <v>135</v>
      </c>
      <c r="E34" s="9">
        <v>449.97</v>
      </c>
      <c r="F34" s="8" t="str">
        <f>IF(SUMIF(RawData!D:D,RawData!D34,RawData!N:N)&gt;5000,"High Value","Normal")</f>
        <v>Normal</v>
      </c>
    </row>
    <row r="35" spans="1:6">
      <c r="A35" s="2" t="s">
        <v>45</v>
      </c>
      <c r="B35" s="3">
        <v>6169.74</v>
      </c>
      <c r="D35" s="11" t="s">
        <v>32</v>
      </c>
      <c r="E35" s="12">
        <v>899.99</v>
      </c>
      <c r="F35" s="11" t="str">
        <f>IF(SUMIF(RawData!D:D,RawData!D35,RawData!N:N)&gt;5000,"High Value","Normal")</f>
        <v>Normal</v>
      </c>
    </row>
    <row r="36" spans="1:6">
      <c r="A36" s="2" t="s">
        <v>81</v>
      </c>
      <c r="B36" s="3">
        <v>4199.9399999999996</v>
      </c>
      <c r="D36" s="8" t="s">
        <v>102</v>
      </c>
      <c r="E36" s="9">
        <v>899.97</v>
      </c>
      <c r="F36" s="8" t="str">
        <f>IF(SUMIF(RawData!D:D,RawData!D36,RawData!N:N)&gt;5000,"High Value","Normal")</f>
        <v>High Value</v>
      </c>
    </row>
    <row r="37" spans="1:6">
      <c r="A37" s="2" t="s">
        <v>111</v>
      </c>
      <c r="B37" s="3">
        <v>4189.7700000000004</v>
      </c>
      <c r="D37" s="11" t="s">
        <v>132</v>
      </c>
      <c r="E37" s="12">
        <v>239.97</v>
      </c>
      <c r="F37" s="11" t="str">
        <f>IF(SUMIF(RawData!D:D,RawData!D37,RawData!N:N)&gt;5000,"High Value","Normal")</f>
        <v>Normal</v>
      </c>
    </row>
    <row r="38" spans="1:6">
      <c r="A38" s="2" t="s">
        <v>102</v>
      </c>
      <c r="B38" s="3">
        <v>9799.73</v>
      </c>
      <c r="D38" s="8" t="s">
        <v>141</v>
      </c>
      <c r="E38" s="9">
        <v>599.97</v>
      </c>
      <c r="F38" s="8" t="str">
        <f>IF(SUMIF(RawData!D:D,RawData!D38,RawData!N:N)&gt;5000,"High Value","Normal")</f>
        <v>Normal</v>
      </c>
    </row>
    <row r="39" spans="1:6">
      <c r="A39" s="2" t="s">
        <v>18</v>
      </c>
      <c r="B39" s="3">
        <v>8309.74</v>
      </c>
      <c r="D39" s="11" t="s">
        <v>144</v>
      </c>
      <c r="E39" s="12">
        <v>3499.95</v>
      </c>
      <c r="F39" s="11" t="str">
        <f>IF(SUMIF(RawData!D:D,RawData!D39,RawData!N:N)&gt;5000,"High Value","Normal")</f>
        <v>Normal</v>
      </c>
    </row>
    <row r="40" spans="1:6">
      <c r="A40" s="2" t="s">
        <v>75</v>
      </c>
      <c r="B40" s="3">
        <v>5949.85</v>
      </c>
      <c r="D40" s="8" t="s">
        <v>147</v>
      </c>
      <c r="E40" s="9">
        <v>269.97000000000003</v>
      </c>
      <c r="F40" s="8" t="str">
        <f>IF(SUMIF(RawData!D:D,RawData!D40,RawData!N:N)&gt;5000,"High Value","Normal")</f>
        <v>High Value</v>
      </c>
    </row>
    <row r="41" spans="1:6">
      <c r="A41" s="2" t="s">
        <v>174</v>
      </c>
      <c r="B41" s="3">
        <v>3669.85</v>
      </c>
      <c r="D41" s="11" t="s">
        <v>150</v>
      </c>
      <c r="E41" s="12">
        <v>79.989999999999995</v>
      </c>
      <c r="F41" s="11" t="str">
        <f>IF(SUMIF(RawData!D:D,RawData!D41,RawData!N:N)&gt;5000,"High Value","Normal")</f>
        <v>High Value</v>
      </c>
    </row>
    <row r="42" spans="1:6">
      <c r="A42" s="2" t="s">
        <v>262</v>
      </c>
      <c r="B42" s="3">
        <v>739.93</v>
      </c>
      <c r="D42" s="8" t="s">
        <v>153</v>
      </c>
      <c r="E42" s="9">
        <v>119.98</v>
      </c>
      <c r="F42" s="8" t="str">
        <f>IF(SUMIF(RawData!D:D,RawData!D42,RawData!N:N)&gt;5000,"High Value","Normal")</f>
        <v>High Value</v>
      </c>
    </row>
    <row r="43" spans="1:6">
      <c r="A43" s="2" t="s">
        <v>62</v>
      </c>
      <c r="B43" s="3">
        <v>3509.9</v>
      </c>
      <c r="D43" s="11" t="s">
        <v>58</v>
      </c>
      <c r="E43" s="12">
        <v>89.99</v>
      </c>
      <c r="F43" s="11" t="str">
        <f>IF(SUMIF(RawData!D:D,RawData!D43,RawData!N:N)&gt;5000,"High Value","Normal")</f>
        <v>High Value</v>
      </c>
    </row>
    <row r="44" spans="1:6">
      <c r="A44" s="2" t="s">
        <v>249</v>
      </c>
      <c r="B44" s="3">
        <v>1749.92</v>
      </c>
      <c r="D44" s="8" t="s">
        <v>157</v>
      </c>
      <c r="E44" s="9">
        <v>449.95</v>
      </c>
      <c r="F44" s="8" t="str">
        <f>IF(SUMIF(RawData!D:D,RawData!D44,RawData!N:N)&gt;5000,"High Value","Normal")</f>
        <v>High Value</v>
      </c>
    </row>
    <row r="45" spans="1:6">
      <c r="A45" s="2" t="s">
        <v>237</v>
      </c>
      <c r="B45" s="3">
        <v>6349.83</v>
      </c>
      <c r="D45" s="11" t="s">
        <v>27</v>
      </c>
      <c r="E45" s="12">
        <v>1249.95</v>
      </c>
      <c r="F45" s="11" t="str">
        <f>IF(SUMIF(RawData!D:D,RawData!D45,RawData!N:N)&gt;5000,"High Value","Normal")</f>
        <v>High Value</v>
      </c>
    </row>
    <row r="46" spans="1:6">
      <c r="A46" s="2" t="s">
        <v>157</v>
      </c>
      <c r="B46" s="3">
        <v>5499.81</v>
      </c>
      <c r="D46" s="8" t="s">
        <v>161</v>
      </c>
      <c r="E46" s="9">
        <v>89.99</v>
      </c>
      <c r="F46" s="8" t="str">
        <f>IF(SUMIF(RawData!D:D,RawData!D46,RawData!N:N)&gt;5000,"High Value","Normal")</f>
        <v>High Value</v>
      </c>
    </row>
    <row r="47" spans="1:6">
      <c r="A47" s="2" t="s">
        <v>153</v>
      </c>
      <c r="B47" s="3">
        <v>5619.87</v>
      </c>
      <c r="D47" s="11" t="s">
        <v>45</v>
      </c>
      <c r="E47" s="12">
        <v>299.98</v>
      </c>
      <c r="F47" s="11" t="str">
        <f>IF(SUMIF(RawData!D:D,RawData!D47,RawData!N:N)&gt;5000,"High Value","Normal")</f>
        <v>High Value</v>
      </c>
    </row>
    <row r="48" spans="1:6">
      <c r="A48" s="2" t="s">
        <v>141</v>
      </c>
      <c r="B48" s="3">
        <v>2649.83</v>
      </c>
      <c r="D48" s="8" t="s">
        <v>165</v>
      </c>
      <c r="E48" s="9">
        <v>239.96</v>
      </c>
      <c r="F48" s="8" t="str">
        <f>IF(SUMIF(RawData!D:D,RawData!D48,RawData!N:N)&gt;5000,"High Value","Normal")</f>
        <v>Normal</v>
      </c>
    </row>
    <row r="49" spans="1:6">
      <c r="A49" s="2" t="s">
        <v>71</v>
      </c>
      <c r="B49" s="3">
        <v>1979.89</v>
      </c>
      <c r="D49" s="11" t="s">
        <v>132</v>
      </c>
      <c r="E49" s="12">
        <v>449.95</v>
      </c>
      <c r="F49" s="11" t="str">
        <f>IF(SUMIF(RawData!D:D,RawData!D49,RawData!N:N)&gt;5000,"High Value","Normal")</f>
        <v>Normal</v>
      </c>
    </row>
    <row r="50" spans="1:6">
      <c r="A50" s="2" t="s">
        <v>96</v>
      </c>
      <c r="B50" s="3">
        <v>4789.79</v>
      </c>
      <c r="D50" s="8" t="s">
        <v>102</v>
      </c>
      <c r="E50" s="9">
        <v>179.98</v>
      </c>
      <c r="F50" s="8" t="str">
        <f>IF(SUMIF(RawData!D:D,RawData!D50,RawData!N:N)&gt;5000,"High Value","Normal")</f>
        <v>High Value</v>
      </c>
    </row>
    <row r="51" spans="1:6">
      <c r="A51" s="2" t="s">
        <v>255</v>
      </c>
      <c r="B51" s="3">
        <v>4749.91</v>
      </c>
      <c r="D51" s="11" t="s">
        <v>18</v>
      </c>
      <c r="E51" s="12">
        <v>4499.95</v>
      </c>
      <c r="F51" s="11" t="str">
        <f>IF(SUMIF(RawData!D:D,RawData!D51,RawData!N:N)&gt;5000,"High Value","Normal")</f>
        <v>High Value</v>
      </c>
    </row>
    <row r="52" spans="1:6">
      <c r="D52" s="8" t="s">
        <v>126</v>
      </c>
      <c r="E52" s="9">
        <v>4499.95</v>
      </c>
      <c r="F52" s="8" t="str">
        <f>IF(SUMIF(RawData!D:D,RawData!D52,RawData!N:N)&gt;5000,"High Value","Normal")</f>
        <v>High Value</v>
      </c>
    </row>
    <row r="53" spans="1:6">
      <c r="D53" s="11" t="s">
        <v>161</v>
      </c>
      <c r="E53" s="12">
        <v>59.99</v>
      </c>
      <c r="F53" s="11" t="str">
        <f>IF(SUMIF(RawData!D:D,RawData!D53,RawData!N:N)&gt;5000,"High Value","Normal")</f>
        <v>High Value</v>
      </c>
    </row>
    <row r="54" spans="1:6">
      <c r="D54" s="8" t="s">
        <v>144</v>
      </c>
      <c r="E54" s="9">
        <v>599.98</v>
      </c>
      <c r="F54" s="8" t="str">
        <f>IF(SUMIF(RawData!D:D,RawData!D54,RawData!N:N)&gt;5000,"High Value","Normal")</f>
        <v>Normal</v>
      </c>
    </row>
    <row r="55" spans="1:6">
      <c r="D55" s="11" t="s">
        <v>174</v>
      </c>
      <c r="E55" s="12">
        <v>359.96</v>
      </c>
      <c r="F55" s="11" t="str">
        <f>IF(SUMIF(RawData!D:D,RawData!D55,RawData!N:N)&gt;5000,"High Value","Normal")</f>
        <v>Normal</v>
      </c>
    </row>
    <row r="56" spans="1:6">
      <c r="D56" s="8" t="s">
        <v>32</v>
      </c>
      <c r="E56" s="9">
        <v>79.989999999999995</v>
      </c>
      <c r="F56" s="8" t="str">
        <f>IF(SUMIF(RawData!D:D,RawData!D56,RawData!N:N)&gt;5000,"High Value","Normal")</f>
        <v>Normal</v>
      </c>
    </row>
    <row r="57" spans="1:6">
      <c r="D57" s="11" t="s">
        <v>62</v>
      </c>
      <c r="E57" s="12">
        <v>179.98</v>
      </c>
      <c r="F57" s="11" t="str">
        <f>IF(SUMIF(RawData!D:D,RawData!D57,RawData!N:N)&gt;5000,"High Value","Normal")</f>
        <v>Normal</v>
      </c>
    </row>
    <row r="58" spans="1:6">
      <c r="D58" s="8" t="s">
        <v>41</v>
      </c>
      <c r="E58" s="9">
        <v>2099.9699999999998</v>
      </c>
      <c r="F58" s="8" t="str">
        <f>IF(SUMIF(RawData!D:D,RawData!D58,RawData!N:N)&gt;5000,"High Value","Normal")</f>
        <v>Normal</v>
      </c>
    </row>
    <row r="59" spans="1:6">
      <c r="D59" s="11" t="s">
        <v>102</v>
      </c>
      <c r="E59" s="12">
        <v>3599.96</v>
      </c>
      <c r="F59" s="11" t="str">
        <f>IF(SUMIF(RawData!D:D,RawData!D59,RawData!N:N)&gt;5000,"High Value","Normal")</f>
        <v>High Value</v>
      </c>
    </row>
    <row r="60" spans="1:6">
      <c r="D60" s="8" t="s">
        <v>123</v>
      </c>
      <c r="E60" s="9">
        <v>149.99</v>
      </c>
      <c r="F60" s="8" t="str">
        <f>IF(SUMIF(RawData!D:D,RawData!D60,RawData!N:N)&gt;5000,"High Value","Normal")</f>
        <v>High Value</v>
      </c>
    </row>
    <row r="61" spans="1:6">
      <c r="D61" s="11" t="s">
        <v>135</v>
      </c>
      <c r="E61" s="12">
        <v>179.98</v>
      </c>
      <c r="F61" s="11" t="str">
        <f>IF(SUMIF(RawData!D:D,RawData!D61,RawData!N:N)&gt;5000,"High Value","Normal")</f>
        <v>Normal</v>
      </c>
    </row>
    <row r="62" spans="1:6">
      <c r="D62" s="8" t="s">
        <v>58</v>
      </c>
      <c r="E62" s="9">
        <v>89.99</v>
      </c>
      <c r="F62" s="8" t="str">
        <f>IF(SUMIF(RawData!D:D,RawData!D62,RawData!N:N)&gt;5000,"High Value","Normal")</f>
        <v>High Value</v>
      </c>
    </row>
    <row r="63" spans="1:6">
      <c r="D63" s="11" t="s">
        <v>71</v>
      </c>
      <c r="E63" s="12">
        <v>89.99</v>
      </c>
      <c r="F63" s="11" t="str">
        <f>IF(SUMIF(RawData!D:D,RawData!D63,RawData!N:N)&gt;5000,"High Value","Normal")</f>
        <v>Normal</v>
      </c>
    </row>
    <row r="64" spans="1:6">
      <c r="D64" s="8" t="s">
        <v>185</v>
      </c>
      <c r="E64" s="9">
        <v>399.95</v>
      </c>
      <c r="F64" s="8" t="str">
        <f>IF(SUMIF(RawData!D:D,RawData!D64,RawData!N:N)&gt;5000,"High Value","Normal")</f>
        <v>Normal</v>
      </c>
    </row>
    <row r="65" spans="4:6">
      <c r="D65" s="11" t="s">
        <v>188</v>
      </c>
      <c r="E65" s="12">
        <v>149.99</v>
      </c>
      <c r="F65" s="11" t="str">
        <f>IF(SUMIF(RawData!D:D,RawData!D65,RawData!N:N)&gt;5000,"High Value","Normal")</f>
        <v>Normal</v>
      </c>
    </row>
    <row r="66" spans="4:6">
      <c r="D66" s="8" t="s">
        <v>45</v>
      </c>
      <c r="E66" s="9">
        <v>1399.98</v>
      </c>
      <c r="F66" s="8" t="str">
        <f>IF(SUMIF(RawData!D:D,RawData!D66,RawData!N:N)&gt;5000,"High Value","Normal")</f>
        <v>High Value</v>
      </c>
    </row>
    <row r="67" spans="4:6">
      <c r="D67" s="11" t="s">
        <v>99</v>
      </c>
      <c r="E67" s="12">
        <v>449.95</v>
      </c>
      <c r="F67" s="11" t="str">
        <f>IF(SUMIF(RawData!D:D,RawData!D67,RawData!N:N)&gt;5000,"High Value","Normal")</f>
        <v>High Value</v>
      </c>
    </row>
    <row r="68" spans="4:6">
      <c r="D68" s="8" t="s">
        <v>174</v>
      </c>
      <c r="E68" s="9">
        <v>239.96</v>
      </c>
      <c r="F68" s="8" t="str">
        <f>IF(SUMIF(RawData!D:D,RawData!D68,RawData!N:N)&gt;5000,"High Value","Normal")</f>
        <v>Normal</v>
      </c>
    </row>
    <row r="69" spans="4:6">
      <c r="D69" s="11" t="s">
        <v>27</v>
      </c>
      <c r="E69" s="12">
        <v>149.99</v>
      </c>
      <c r="F69" s="11" t="str">
        <f>IF(SUMIF(RawData!D:D,RawData!D69,RawData!N:N)&gt;5000,"High Value","Normal")</f>
        <v>High Value</v>
      </c>
    </row>
    <row r="70" spans="4:6">
      <c r="D70" s="8" t="s">
        <v>195</v>
      </c>
      <c r="E70" s="9">
        <v>299.99</v>
      </c>
      <c r="F70" s="8" t="str">
        <f>IF(SUMIF(RawData!D:D,RawData!D70,RawData!N:N)&gt;5000,"High Value","Normal")</f>
        <v>Normal</v>
      </c>
    </row>
    <row r="71" spans="4:6">
      <c r="D71" s="11" t="s">
        <v>195</v>
      </c>
      <c r="E71" s="12">
        <v>399.98</v>
      </c>
      <c r="F71" s="11" t="str">
        <f>IF(SUMIF(RawData!D:D,RawData!D71,RawData!N:N)&gt;5000,"High Value","Normal")</f>
        <v>Normal</v>
      </c>
    </row>
    <row r="72" spans="4:6">
      <c r="D72" s="8" t="s">
        <v>199</v>
      </c>
      <c r="E72" s="9">
        <v>179.97</v>
      </c>
      <c r="F72" s="8" t="str">
        <f>IF(SUMIF(RawData!D:D,RawData!D72,RawData!N:N)&gt;5000,"High Value","Normal")</f>
        <v>High Value</v>
      </c>
    </row>
    <row r="73" spans="4:6">
      <c r="D73" s="11" t="s">
        <v>75</v>
      </c>
      <c r="E73" s="12">
        <v>449.97</v>
      </c>
      <c r="F73" s="11" t="str">
        <f>IF(SUMIF(RawData!D:D,RawData!D73,RawData!N:N)&gt;5000,"High Value","Normal")</f>
        <v>High Value</v>
      </c>
    </row>
    <row r="74" spans="4:6">
      <c r="D74" s="8" t="s">
        <v>68</v>
      </c>
      <c r="E74" s="9">
        <v>599.97</v>
      </c>
      <c r="F74" s="8" t="str">
        <f>IF(SUMIF(RawData!D:D,RawData!D74,RawData!N:N)&gt;5000,"High Value","Normal")</f>
        <v>High Value</v>
      </c>
    </row>
    <row r="75" spans="4:6">
      <c r="D75" s="11" t="s">
        <v>153</v>
      </c>
      <c r="E75" s="12">
        <v>899.99</v>
      </c>
      <c r="F75" s="11" t="str">
        <f>IF(SUMIF(RawData!D:D,RawData!D75,RawData!N:N)&gt;5000,"High Value","Normal")</f>
        <v>High Value</v>
      </c>
    </row>
    <row r="76" spans="4:6">
      <c r="D76" s="8" t="s">
        <v>27</v>
      </c>
      <c r="E76" s="9">
        <v>4499.95</v>
      </c>
      <c r="F76" s="8" t="str">
        <f>IF(SUMIF(RawData!D:D,RawData!D76,RawData!N:N)&gt;5000,"High Value","Normal")</f>
        <v>High Value</v>
      </c>
    </row>
    <row r="77" spans="4:6">
      <c r="D77" s="11" t="s">
        <v>185</v>
      </c>
      <c r="E77" s="12">
        <v>119.98</v>
      </c>
      <c r="F77" s="11" t="str">
        <f>IF(SUMIF(RawData!D:D,RawData!D77,RawData!N:N)&gt;5000,"High Value","Normal")</f>
        <v>Normal</v>
      </c>
    </row>
    <row r="78" spans="4:6">
      <c r="D78" s="8" t="s">
        <v>199</v>
      </c>
      <c r="E78" s="9">
        <v>999.96</v>
      </c>
      <c r="F78" s="8" t="str">
        <f>IF(SUMIF(RawData!D:D,RawData!D78,RawData!N:N)&gt;5000,"High Value","Normal")</f>
        <v>High Value</v>
      </c>
    </row>
    <row r="79" spans="4:6">
      <c r="D79" s="11" t="s">
        <v>99</v>
      </c>
      <c r="E79" s="12">
        <v>499.98</v>
      </c>
      <c r="F79" s="11" t="str">
        <f>IF(SUMIF(RawData!D:D,RawData!D79,RawData!N:N)&gt;5000,"High Value","Normal")</f>
        <v>High Value</v>
      </c>
    </row>
    <row r="80" spans="4:6">
      <c r="D80" s="8" t="s">
        <v>150</v>
      </c>
      <c r="E80" s="9">
        <v>299.99</v>
      </c>
      <c r="F80" s="8" t="str">
        <f>IF(SUMIF(RawData!D:D,RawData!D80,RawData!N:N)&gt;5000,"High Value","Normal")</f>
        <v>High Value</v>
      </c>
    </row>
    <row r="81" spans="4:6">
      <c r="D81" s="11" t="s">
        <v>89</v>
      </c>
      <c r="E81" s="12">
        <v>179.98</v>
      </c>
      <c r="F81" s="11" t="str">
        <f>IF(SUMIF(RawData!D:D,RawData!D81,RawData!N:N)&gt;5000,"High Value","Normal")</f>
        <v>High Value</v>
      </c>
    </row>
    <row r="82" spans="4:6">
      <c r="D82" s="8" t="s">
        <v>150</v>
      </c>
      <c r="E82" s="9">
        <v>899.97</v>
      </c>
      <c r="F82" s="8" t="str">
        <f>IF(SUMIF(RawData!D:D,RawData!D82,RawData!N:N)&gt;5000,"High Value","Normal")</f>
        <v>High Value</v>
      </c>
    </row>
    <row r="83" spans="4:6">
      <c r="D83" s="11" t="s">
        <v>89</v>
      </c>
      <c r="E83" s="12">
        <v>1399.98</v>
      </c>
      <c r="F83" s="11" t="str">
        <f>IF(SUMIF(RawData!D:D,RawData!D83,RawData!N:N)&gt;5000,"High Value","Normal")</f>
        <v>High Value</v>
      </c>
    </row>
    <row r="84" spans="4:6">
      <c r="D84" s="8" t="s">
        <v>123</v>
      </c>
      <c r="E84" s="9">
        <v>3599.96</v>
      </c>
      <c r="F84" s="8" t="str">
        <f>IF(SUMIF(RawData!D:D,RawData!D84,RawData!N:N)&gt;5000,"High Value","Normal")</f>
        <v>High Value</v>
      </c>
    </row>
    <row r="85" spans="4:6">
      <c r="D85" s="11" t="s">
        <v>214</v>
      </c>
      <c r="E85" s="12">
        <v>299.98</v>
      </c>
      <c r="F85" s="11" t="str">
        <f>IF(SUMIF(RawData!D:D,RawData!D85,RawData!N:N)&gt;5000,"High Value","Normal")</f>
        <v>Normal</v>
      </c>
    </row>
    <row r="86" spans="4:6">
      <c r="D86" s="8" t="s">
        <v>105</v>
      </c>
      <c r="E86" s="9">
        <v>299.98</v>
      </c>
      <c r="F86" s="8" t="str">
        <f>IF(SUMIF(RawData!D:D,RawData!D86,RawData!N:N)&gt;5000,"High Value","Normal")</f>
        <v>Normal</v>
      </c>
    </row>
    <row r="87" spans="4:6">
      <c r="D87" s="11" t="s">
        <v>92</v>
      </c>
      <c r="E87" s="12">
        <v>89.99</v>
      </c>
      <c r="F87" s="11" t="str">
        <f>IF(SUMIF(RawData!D:D,RawData!D87,RawData!N:N)&gt;5000,"High Value","Normal")</f>
        <v>Normal</v>
      </c>
    </row>
    <row r="88" spans="4:6">
      <c r="D88" s="8" t="s">
        <v>89</v>
      </c>
      <c r="E88" s="9">
        <v>1499.95</v>
      </c>
      <c r="F88" s="8" t="str">
        <f>IF(SUMIF(RawData!D:D,RawData!D88,RawData!N:N)&gt;5000,"High Value","Normal")</f>
        <v>High Value</v>
      </c>
    </row>
    <row r="89" spans="4:6">
      <c r="D89" s="11" t="s">
        <v>185</v>
      </c>
      <c r="E89" s="12">
        <v>599.96</v>
      </c>
      <c r="F89" s="11" t="str">
        <f>IF(SUMIF(RawData!D:D,RawData!D89,RawData!N:N)&gt;5000,"High Value","Normal")</f>
        <v>Normal</v>
      </c>
    </row>
    <row r="90" spans="4:6">
      <c r="D90" s="8" t="s">
        <v>188</v>
      </c>
      <c r="E90" s="9">
        <v>1249.95</v>
      </c>
      <c r="F90" s="8" t="str">
        <f>IF(SUMIF(RawData!D:D,RawData!D90,RawData!N:N)&gt;5000,"High Value","Normal")</f>
        <v>Normal</v>
      </c>
    </row>
    <row r="91" spans="4:6">
      <c r="D91" s="11" t="s">
        <v>68</v>
      </c>
      <c r="E91" s="12">
        <v>749.97</v>
      </c>
      <c r="F91" s="11" t="str">
        <f>IF(SUMIF(RawData!D:D,RawData!D91,RawData!N:N)&gt;5000,"High Value","Normal")</f>
        <v>High Value</v>
      </c>
    </row>
    <row r="92" spans="4:6">
      <c r="D92" s="8" t="s">
        <v>41</v>
      </c>
      <c r="E92" s="9">
        <v>799.96</v>
      </c>
      <c r="F92" s="8" t="str">
        <f>IF(SUMIF(RawData!D:D,RawData!D92,RawData!N:N)&gt;5000,"High Value","Normal")</f>
        <v>Normal</v>
      </c>
    </row>
    <row r="93" spans="4:6">
      <c r="D93" s="11" t="s">
        <v>161</v>
      </c>
      <c r="E93" s="12">
        <v>999.95</v>
      </c>
      <c r="F93" s="11" t="str">
        <f>IF(SUMIF(RawData!D:D,RawData!D93,RawData!N:N)&gt;5000,"High Value","Normal")</f>
        <v>High Value</v>
      </c>
    </row>
    <row r="94" spans="4:6">
      <c r="D94" s="8" t="s">
        <v>89</v>
      </c>
      <c r="E94" s="9">
        <v>179.98</v>
      </c>
      <c r="F94" s="8" t="str">
        <f>IF(SUMIF(RawData!D:D,RawData!D94,RawData!N:N)&gt;5000,"High Value","Normal")</f>
        <v>High Value</v>
      </c>
    </row>
    <row r="95" spans="4:6">
      <c r="D95" s="11" t="s">
        <v>199</v>
      </c>
      <c r="E95" s="12">
        <v>4499.95</v>
      </c>
      <c r="F95" s="11" t="str">
        <f>IF(SUMIF(RawData!D:D,RawData!D95,RawData!N:N)&gt;5000,"High Value","Normal")</f>
        <v>High Value</v>
      </c>
    </row>
    <row r="96" spans="4:6">
      <c r="D96" s="8" t="s">
        <v>111</v>
      </c>
      <c r="E96" s="9">
        <v>449.97</v>
      </c>
      <c r="F96" s="8" t="str">
        <f>IF(SUMIF(RawData!D:D,RawData!D96,RawData!N:N)&gt;5000,"High Value","Normal")</f>
        <v>Normal</v>
      </c>
    </row>
    <row r="97" spans="4:6">
      <c r="D97" s="11" t="s">
        <v>105</v>
      </c>
      <c r="E97" s="12">
        <v>749.95</v>
      </c>
      <c r="F97" s="11" t="str">
        <f>IF(SUMIF(RawData!D:D,RawData!D97,RawData!N:N)&gt;5000,"High Value","Normal")</f>
        <v>Normal</v>
      </c>
    </row>
    <row r="98" spans="4:6">
      <c r="D98" s="8" t="s">
        <v>229</v>
      </c>
      <c r="E98" s="9">
        <v>239.97</v>
      </c>
      <c r="F98" s="8" t="str">
        <f>IF(SUMIF(RawData!D:D,RawData!D98,RawData!N:N)&gt;5000,"High Value","Normal")</f>
        <v>High Value</v>
      </c>
    </row>
    <row r="99" spans="4:6">
      <c r="D99" s="11" t="s">
        <v>147</v>
      </c>
      <c r="E99" s="12">
        <v>499.98</v>
      </c>
      <c r="F99" s="11" t="str">
        <f>IF(SUMIF(RawData!D:D,RawData!D99,RawData!N:N)&gt;5000,"High Value","Normal")</f>
        <v>High Value</v>
      </c>
    </row>
    <row r="100" spans="4:6">
      <c r="D100" s="8" t="s">
        <v>199</v>
      </c>
      <c r="E100" s="9">
        <v>699.99</v>
      </c>
      <c r="F100" s="8" t="str">
        <f>IF(SUMIF(RawData!D:D,RawData!D100,RawData!N:N)&gt;5000,"High Value","Normal")</f>
        <v>High Value</v>
      </c>
    </row>
    <row r="101" spans="4:6">
      <c r="D101" s="11" t="s">
        <v>234</v>
      </c>
      <c r="E101" s="12">
        <v>449.97</v>
      </c>
      <c r="F101" s="11" t="str">
        <f>IF(SUMIF(RawData!D:D,RawData!D101,RawData!N:N)&gt;5000,"High Value","Normal")</f>
        <v>Normal</v>
      </c>
    </row>
    <row r="102" spans="4:6">
      <c r="D102" s="8" t="s">
        <v>237</v>
      </c>
      <c r="E102" s="9">
        <v>1399.98</v>
      </c>
      <c r="F102" s="8" t="str">
        <f>IF(SUMIF(RawData!D:D,RawData!D102,RawData!N:N)&gt;5000,"High Value","Normal")</f>
        <v>High Value</v>
      </c>
    </row>
    <row r="103" spans="4:6">
      <c r="D103" s="11" t="s">
        <v>234</v>
      </c>
      <c r="E103" s="12">
        <v>249.99</v>
      </c>
      <c r="F103" s="11" t="str">
        <f>IF(SUMIF(RawData!D:D,RawData!D103,RawData!N:N)&gt;5000,"High Value","Normal")</f>
        <v>Normal</v>
      </c>
    </row>
    <row r="104" spans="4:6">
      <c r="D104" s="8" t="s">
        <v>18</v>
      </c>
      <c r="E104" s="9">
        <v>249.99</v>
      </c>
      <c r="F104" s="8" t="str">
        <f>IF(SUMIF(RawData!D:D,RawData!D104,RawData!N:N)&gt;5000,"High Value","Normal")</f>
        <v>High Value</v>
      </c>
    </row>
    <row r="105" spans="4:6">
      <c r="D105" s="11" t="s">
        <v>229</v>
      </c>
      <c r="E105" s="12">
        <v>1399.98</v>
      </c>
      <c r="F105" s="11" t="str">
        <f>IF(SUMIF(RawData!D:D,RawData!D105,RawData!N:N)&gt;5000,"High Value","Normal")</f>
        <v>High Value</v>
      </c>
    </row>
    <row r="106" spans="4:6">
      <c r="D106" s="8" t="s">
        <v>141</v>
      </c>
      <c r="E106" s="9">
        <v>179.97</v>
      </c>
      <c r="F106" s="8" t="str">
        <f>IF(SUMIF(RawData!D:D,RawData!D106,RawData!N:N)&gt;5000,"High Value","Normal")</f>
        <v>Normal</v>
      </c>
    </row>
    <row r="107" spans="4:6">
      <c r="D107" s="11" t="s">
        <v>135</v>
      </c>
      <c r="E107" s="12">
        <v>179.97</v>
      </c>
      <c r="F107" s="11" t="str">
        <f>IF(SUMIF(RawData!D:D,RawData!D107,RawData!N:N)&gt;5000,"High Value","Normal")</f>
        <v>Normal</v>
      </c>
    </row>
    <row r="108" spans="4:6">
      <c r="D108" s="8" t="s">
        <v>144</v>
      </c>
      <c r="E108" s="9">
        <v>319.95999999999998</v>
      </c>
      <c r="F108" s="8" t="str">
        <f>IF(SUMIF(RawData!D:D,RawData!D108,RawData!N:N)&gt;5000,"High Value","Normal")</f>
        <v>Normal</v>
      </c>
    </row>
    <row r="109" spans="4:6">
      <c r="D109" s="11" t="s">
        <v>58</v>
      </c>
      <c r="E109" s="12">
        <v>79.989999999999995</v>
      </c>
      <c r="F109" s="11" t="str">
        <f>IF(SUMIF(RawData!D:D,RawData!D109,RawData!N:N)&gt;5000,"High Value","Normal")</f>
        <v>High Value</v>
      </c>
    </row>
    <row r="110" spans="4:6">
      <c r="D110" s="8" t="s">
        <v>51</v>
      </c>
      <c r="E110" s="9">
        <v>899.97</v>
      </c>
      <c r="F110" s="8" t="str">
        <f>IF(SUMIF(RawData!D:D,RawData!D110,RawData!N:N)&gt;5000,"High Value","Normal")</f>
        <v>High Value</v>
      </c>
    </row>
    <row r="111" spans="4:6">
      <c r="D111" s="11" t="s">
        <v>41</v>
      </c>
      <c r="E111" s="12">
        <v>179.98</v>
      </c>
      <c r="F111" s="11" t="str">
        <f>IF(SUMIF(RawData!D:D,RawData!D111,RawData!N:N)&gt;5000,"High Value","Normal")</f>
        <v>Normal</v>
      </c>
    </row>
    <row r="112" spans="4:6">
      <c r="D112" s="8" t="s">
        <v>249</v>
      </c>
      <c r="E112" s="9">
        <v>599.96</v>
      </c>
      <c r="F112" s="8" t="str">
        <f>IF(SUMIF(RawData!D:D,RawData!D112,RawData!N:N)&gt;5000,"High Value","Normal")</f>
        <v>Normal</v>
      </c>
    </row>
    <row r="113" spans="4:6">
      <c r="D113" s="11" t="s">
        <v>68</v>
      </c>
      <c r="E113" s="12">
        <v>499.98</v>
      </c>
      <c r="F113" s="11" t="str">
        <f>IF(SUMIF(RawData!D:D,RawData!D113,RawData!N:N)&gt;5000,"High Value","Normal")</f>
        <v>High Value</v>
      </c>
    </row>
    <row r="114" spans="4:6">
      <c r="D114" s="8" t="s">
        <v>157</v>
      </c>
      <c r="E114" s="9">
        <v>799.96</v>
      </c>
      <c r="F114" s="8" t="str">
        <f>IF(SUMIF(RawData!D:D,RawData!D114,RawData!N:N)&gt;5000,"High Value","Normal")</f>
        <v>High Value</v>
      </c>
    </row>
    <row r="115" spans="4:6">
      <c r="D115" s="11" t="s">
        <v>150</v>
      </c>
      <c r="E115" s="12">
        <v>449.95</v>
      </c>
      <c r="F115" s="11" t="str">
        <f>IF(SUMIF(RawData!D:D,RawData!D115,RawData!N:N)&gt;5000,"High Value","Normal")</f>
        <v>High Value</v>
      </c>
    </row>
    <row r="116" spans="4:6">
      <c r="D116" s="8" t="s">
        <v>255</v>
      </c>
      <c r="E116" s="9">
        <v>149.99</v>
      </c>
      <c r="F116" s="8" t="str">
        <f>IF(SUMIF(RawData!D:D,RawData!D116,RawData!N:N)&gt;5000,"High Value","Normal")</f>
        <v>Normal</v>
      </c>
    </row>
    <row r="117" spans="4:6">
      <c r="D117" s="11" t="s">
        <v>75</v>
      </c>
      <c r="E117" s="12">
        <v>2799.96</v>
      </c>
      <c r="F117" s="11" t="str">
        <f>IF(SUMIF(RawData!D:D,RawData!D117,RawData!N:N)&gt;5000,"High Value","Normal")</f>
        <v>High Value</v>
      </c>
    </row>
    <row r="118" spans="4:6">
      <c r="D118" s="8" t="s">
        <v>237</v>
      </c>
      <c r="E118" s="9">
        <v>2699.97</v>
      </c>
      <c r="F118" s="8" t="str">
        <f>IF(SUMIF(RawData!D:D,RawData!D118,RawData!N:N)&gt;5000,"High Value","Normal")</f>
        <v>High Value</v>
      </c>
    </row>
    <row r="119" spans="4:6">
      <c r="D119" s="11" t="s">
        <v>115</v>
      </c>
      <c r="E119" s="12">
        <v>449.97</v>
      </c>
      <c r="F119" s="11" t="str">
        <f>IF(SUMIF(RawData!D:D,RawData!D119,RawData!N:N)&gt;5000,"High Value","Normal")</f>
        <v>Normal</v>
      </c>
    </row>
    <row r="120" spans="4:6">
      <c r="D120" s="8" t="s">
        <v>102</v>
      </c>
      <c r="E120" s="9">
        <v>599.98</v>
      </c>
      <c r="F120" s="8" t="str">
        <f>IF(SUMIF(RawData!D:D,RawData!D120,RawData!N:N)&gt;5000,"High Value","Normal")</f>
        <v>High Value</v>
      </c>
    </row>
    <row r="121" spans="4:6">
      <c r="D121" s="11" t="s">
        <v>262</v>
      </c>
      <c r="E121" s="12">
        <v>199.99</v>
      </c>
      <c r="F121" s="11" t="str">
        <f>IF(SUMIF(RawData!D:D,RawData!D121,RawData!N:N)&gt;5000,"High Value","Normal")</f>
        <v>Normal</v>
      </c>
    </row>
    <row r="122" spans="4:6">
      <c r="D122" s="8" t="s">
        <v>45</v>
      </c>
      <c r="E122" s="9">
        <v>1199.96</v>
      </c>
      <c r="F122" s="8" t="str">
        <f>IF(SUMIF(RawData!D:D,RawData!D122,RawData!N:N)&gt;5000,"High Value","Normal")</f>
        <v>High Value</v>
      </c>
    </row>
    <row r="123" spans="4:6">
      <c r="D123" s="11" t="s">
        <v>92</v>
      </c>
      <c r="E123" s="12">
        <v>119.98</v>
      </c>
      <c r="F123" s="11" t="str">
        <f>IF(SUMIF(RawData!D:D,RawData!D123,RawData!N:N)&gt;5000,"High Value","Normal")</f>
        <v>Normal</v>
      </c>
    </row>
    <row r="124" spans="4:6">
      <c r="D124" s="8" t="s">
        <v>237</v>
      </c>
      <c r="E124" s="9">
        <v>599.96</v>
      </c>
      <c r="F124" s="8" t="str">
        <f>IF(SUMIF(RawData!D:D,RawData!D124,RawData!N:N)&gt;5000,"High Value","Normal")</f>
        <v>High Value</v>
      </c>
    </row>
    <row r="125" spans="4:6">
      <c r="D125" s="11" t="s">
        <v>214</v>
      </c>
      <c r="E125" s="12">
        <v>1399.98</v>
      </c>
      <c r="F125" s="11" t="str">
        <f>IF(SUMIF(RawData!D:D,RawData!D125,RawData!N:N)&gt;5000,"High Value","Normal")</f>
        <v>Normal</v>
      </c>
    </row>
    <row r="126" spans="4:6">
      <c r="D126" s="8" t="s">
        <v>234</v>
      </c>
      <c r="E126" s="9">
        <v>449.97</v>
      </c>
      <c r="F126" s="8" t="str">
        <f>IF(SUMIF(RawData!D:D,RawData!D126,RawData!N:N)&gt;5000,"High Value","Normal")</f>
        <v>Normal</v>
      </c>
    </row>
    <row r="127" spans="4:6">
      <c r="D127" s="11" t="s">
        <v>150</v>
      </c>
      <c r="E127" s="12">
        <v>899.97</v>
      </c>
      <c r="F127" s="11" t="str">
        <f>IF(SUMIF(RawData!D:D,RawData!D127,RawData!N:N)&gt;5000,"High Value","Normal")</f>
        <v>High Value</v>
      </c>
    </row>
    <row r="128" spans="4:6">
      <c r="D128" s="8" t="s">
        <v>86</v>
      </c>
      <c r="E128" s="9">
        <v>2699.97</v>
      </c>
      <c r="F128" s="8" t="str">
        <f>IF(SUMIF(RawData!D:D,RawData!D128,RawData!N:N)&gt;5000,"High Value","Normal")</f>
        <v>Normal</v>
      </c>
    </row>
    <row r="129" spans="4:6">
      <c r="D129" s="11" t="s">
        <v>99</v>
      </c>
      <c r="E129" s="12">
        <v>3499.95</v>
      </c>
      <c r="F129" s="11" t="str">
        <f>IF(SUMIF(RawData!D:D,RawData!D129,RawData!N:N)&gt;5000,"High Value","Normal")</f>
        <v>High Value</v>
      </c>
    </row>
    <row r="130" spans="4:6">
      <c r="D130" s="8" t="s">
        <v>174</v>
      </c>
      <c r="E130" s="9">
        <v>2799.96</v>
      </c>
      <c r="F130" s="8" t="str">
        <f>IF(SUMIF(RawData!D:D,RawData!D130,RawData!N:N)&gt;5000,"High Value","Normal")</f>
        <v>Normal</v>
      </c>
    </row>
    <row r="131" spans="4:6">
      <c r="D131" s="11" t="s">
        <v>153</v>
      </c>
      <c r="E131" s="12">
        <v>899.99</v>
      </c>
      <c r="F131" s="11" t="str">
        <f>IF(SUMIF(RawData!D:D,RawData!D131,RawData!N:N)&gt;5000,"High Value","Normal")</f>
        <v>High Value</v>
      </c>
    </row>
    <row r="132" spans="4:6">
      <c r="D132" s="8" t="s">
        <v>229</v>
      </c>
      <c r="E132" s="9">
        <v>299.98</v>
      </c>
      <c r="F132" s="8" t="str">
        <f>IF(SUMIF(RawData!D:D,RawData!D132,RawData!N:N)&gt;5000,"High Value","Normal")</f>
        <v>High Value</v>
      </c>
    </row>
    <row r="133" spans="4:6">
      <c r="D133" s="11" t="s">
        <v>229</v>
      </c>
      <c r="E133" s="12">
        <v>269.97000000000003</v>
      </c>
      <c r="F133" s="11" t="str">
        <f>IF(SUMIF(RawData!D:D,RawData!D133,RawData!N:N)&gt;5000,"High Value","Normal")</f>
        <v>High Value</v>
      </c>
    </row>
    <row r="134" spans="4:6">
      <c r="D134" s="8" t="s">
        <v>41</v>
      </c>
      <c r="E134" s="9">
        <v>299.98</v>
      </c>
      <c r="F134" s="8" t="str">
        <f>IF(SUMIF(RawData!D:D,RawData!D134,RawData!N:N)&gt;5000,"High Value","Normal")</f>
        <v>Normal</v>
      </c>
    </row>
    <row r="135" spans="4:6">
      <c r="D135" s="11" t="s">
        <v>157</v>
      </c>
      <c r="E135" s="12">
        <v>1399.98</v>
      </c>
      <c r="F135" s="11" t="str">
        <f>IF(SUMIF(RawData!D:D,RawData!D135,RawData!N:N)&gt;5000,"High Value","Normal")</f>
        <v>High Value</v>
      </c>
    </row>
    <row r="136" spans="4:6">
      <c r="D136" s="8" t="s">
        <v>161</v>
      </c>
      <c r="E136" s="9">
        <v>3499.95</v>
      </c>
      <c r="F136" s="8" t="str">
        <f>IF(SUMIF(RawData!D:D,RawData!D136,RawData!N:N)&gt;5000,"High Value","Normal")</f>
        <v>High Value</v>
      </c>
    </row>
    <row r="137" spans="4:6">
      <c r="D137" s="11" t="s">
        <v>174</v>
      </c>
      <c r="E137" s="12">
        <v>269.97000000000003</v>
      </c>
      <c r="F137" s="11" t="str">
        <f>IF(SUMIF(RawData!D:D,RawData!D137,RawData!N:N)&gt;5000,"High Value","Normal")</f>
        <v>Normal</v>
      </c>
    </row>
    <row r="138" spans="4:6">
      <c r="D138" s="8" t="s">
        <v>18</v>
      </c>
      <c r="E138" s="9">
        <v>1249.95</v>
      </c>
      <c r="F138" s="8" t="str">
        <f>IF(SUMIF(RawData!D:D,RawData!D138,RawData!N:N)&gt;5000,"High Value","Normal")</f>
        <v>High Value</v>
      </c>
    </row>
    <row r="139" spans="4:6">
      <c r="D139" s="11" t="s">
        <v>68</v>
      </c>
      <c r="E139" s="12">
        <v>899.97</v>
      </c>
      <c r="F139" s="11" t="str">
        <f>IF(SUMIF(RawData!D:D,RawData!D139,RawData!N:N)&gt;5000,"High Value","Normal")</f>
        <v>High Value</v>
      </c>
    </row>
    <row r="140" spans="4:6">
      <c r="D140" s="8" t="s">
        <v>102</v>
      </c>
      <c r="E140" s="9">
        <v>269.97000000000003</v>
      </c>
      <c r="F140" s="8" t="str">
        <f>IF(SUMIF(RawData!D:D,RawData!D140,RawData!N:N)&gt;5000,"High Value","Normal")</f>
        <v>High Value</v>
      </c>
    </row>
    <row r="141" spans="4:6">
      <c r="D141" s="11" t="s">
        <v>92</v>
      </c>
      <c r="E141" s="12">
        <v>299.98</v>
      </c>
      <c r="F141" s="11" t="str">
        <f>IF(SUMIF(RawData!D:D,RawData!D141,RawData!N:N)&gt;5000,"High Value","Normal")</f>
        <v>Normal</v>
      </c>
    </row>
    <row r="142" spans="4:6">
      <c r="D142" s="8" t="s">
        <v>188</v>
      </c>
      <c r="E142" s="9">
        <v>249.99</v>
      </c>
      <c r="F142" s="8" t="str">
        <f>IF(SUMIF(RawData!D:D,RawData!D142,RawData!N:N)&gt;5000,"High Value","Normal")</f>
        <v>Normal</v>
      </c>
    </row>
    <row r="143" spans="4:6">
      <c r="D143" s="11" t="s">
        <v>75</v>
      </c>
      <c r="E143" s="12">
        <v>449.97</v>
      </c>
      <c r="F143" s="11" t="str">
        <f>IF(SUMIF(RawData!D:D,RawData!D143,RawData!N:N)&gt;5000,"High Value","Normal")</f>
        <v>High Value</v>
      </c>
    </row>
    <row r="144" spans="4:6">
      <c r="D144" s="8" t="s">
        <v>18</v>
      </c>
      <c r="E144" s="9">
        <v>299.95</v>
      </c>
      <c r="F144" s="8" t="str">
        <f>IF(SUMIF(RawData!D:D,RawData!D144,RawData!N:N)&gt;5000,"High Value","Normal")</f>
        <v>High Value</v>
      </c>
    </row>
    <row r="145" spans="4:6">
      <c r="D145" s="11" t="s">
        <v>102</v>
      </c>
      <c r="E145" s="12">
        <v>999.96</v>
      </c>
      <c r="F145" s="11" t="str">
        <f>IF(SUMIF(RawData!D:D,RawData!D145,RawData!N:N)&gt;5000,"High Value","Normal")</f>
        <v>High Value</v>
      </c>
    </row>
    <row r="146" spans="4:6">
      <c r="D146" s="8" t="s">
        <v>157</v>
      </c>
      <c r="E146" s="9">
        <v>749.95</v>
      </c>
      <c r="F146" s="8" t="str">
        <f>IF(SUMIF(RawData!D:D,RawData!D146,RawData!N:N)&gt;5000,"High Value","Normal")</f>
        <v>High Value</v>
      </c>
    </row>
    <row r="147" spans="4:6">
      <c r="D147" s="11" t="s">
        <v>86</v>
      </c>
      <c r="E147" s="12">
        <v>179.97</v>
      </c>
      <c r="F147" s="11" t="str">
        <f>IF(SUMIF(RawData!D:D,RawData!D147,RawData!N:N)&gt;5000,"High Value","Normal")</f>
        <v>Normal</v>
      </c>
    </row>
    <row r="148" spans="4:6">
      <c r="D148" s="8" t="s">
        <v>237</v>
      </c>
      <c r="E148" s="9">
        <v>749.95</v>
      </c>
      <c r="F148" s="8" t="str">
        <f>IF(SUMIF(RawData!D:D,RawData!D148,RawData!N:N)&gt;5000,"High Value","Normal")</f>
        <v>High Value</v>
      </c>
    </row>
    <row r="149" spans="4:6">
      <c r="D149" s="11" t="s">
        <v>89</v>
      </c>
      <c r="E149" s="12">
        <v>1399.98</v>
      </c>
      <c r="F149" s="11" t="str">
        <f>IF(SUMIF(RawData!D:D,RawData!D149,RawData!N:N)&gt;5000,"High Value","Normal")</f>
        <v>High Value</v>
      </c>
    </row>
    <row r="150" spans="4:6">
      <c r="D150" s="8" t="s">
        <v>126</v>
      </c>
      <c r="E150" s="9">
        <v>799.96</v>
      </c>
      <c r="F150" s="8" t="str">
        <f>IF(SUMIF(RawData!D:D,RawData!D150,RawData!N:N)&gt;5000,"High Value","Normal")</f>
        <v>High Value</v>
      </c>
    </row>
    <row r="151" spans="4:6">
      <c r="D151" s="11" t="s">
        <v>195</v>
      </c>
      <c r="E151" s="12">
        <v>59.99</v>
      </c>
      <c r="F151" s="11" t="str">
        <f>IF(SUMIF(RawData!D:D,RawData!D151,RawData!N:N)&gt;5000,"High Value","Normal")</f>
        <v>Normal</v>
      </c>
    </row>
    <row r="152" spans="4:6">
      <c r="D152" s="8" t="s">
        <v>157</v>
      </c>
      <c r="E152" s="9">
        <v>2099.9699999999998</v>
      </c>
      <c r="F152" s="8" t="str">
        <f>IF(SUMIF(RawData!D:D,RawData!D152,RawData!N:N)&gt;5000,"High Value","Normal")</f>
        <v>High Value</v>
      </c>
    </row>
    <row r="153" spans="4:6">
      <c r="D153" s="11" t="s">
        <v>296</v>
      </c>
      <c r="E153" s="12">
        <v>1249.95</v>
      </c>
      <c r="F153" s="11" t="str">
        <f>IF(SUMIF(RawData!D:D,RawData!D153,RawData!N:N)&gt;5000,"High Value","Normal")</f>
        <v>Normal</v>
      </c>
    </row>
    <row r="154" spans="4:6">
      <c r="D154" s="8" t="s">
        <v>115</v>
      </c>
      <c r="E154" s="9">
        <v>299.98</v>
      </c>
      <c r="F154" s="8" t="str">
        <f>IF(SUMIF(RawData!D:D,RawData!D154,RawData!N:N)&gt;5000,"High Value","Normal")</f>
        <v>Normal</v>
      </c>
    </row>
    <row r="155" spans="4:6">
      <c r="D155" s="11" t="s">
        <v>32</v>
      </c>
      <c r="E155" s="12">
        <v>899.97</v>
      </c>
      <c r="F155" s="11" t="str">
        <f>IF(SUMIF(RawData!D:D,RawData!D155,RawData!N:N)&gt;5000,"High Value","Normal")</f>
        <v>Normal</v>
      </c>
    </row>
    <row r="156" spans="4:6">
      <c r="D156" s="8" t="s">
        <v>58</v>
      </c>
      <c r="E156" s="9">
        <v>1249.95</v>
      </c>
      <c r="F156" s="8" t="str">
        <f>IF(SUMIF(RawData!D:D,RawData!D156,RawData!N:N)&gt;5000,"High Value","Normal")</f>
        <v>High Value</v>
      </c>
    </row>
    <row r="157" spans="4:6">
      <c r="D157" s="11" t="s">
        <v>27</v>
      </c>
      <c r="E157" s="12">
        <v>299.98</v>
      </c>
      <c r="F157" s="11" t="str">
        <f>IF(SUMIF(RawData!D:D,RawData!D157,RawData!N:N)&gt;5000,"High Value","Normal")</f>
        <v>High Value</v>
      </c>
    </row>
    <row r="158" spans="4:6">
      <c r="D158" s="8" t="s">
        <v>89</v>
      </c>
      <c r="E158" s="9">
        <v>3499.95</v>
      </c>
      <c r="F158" s="8" t="str">
        <f>IF(SUMIF(RawData!D:D,RawData!D158,RawData!N:N)&gt;5000,"High Value","Normal")</f>
        <v>High Value</v>
      </c>
    </row>
    <row r="159" spans="4:6">
      <c r="D159" s="11" t="s">
        <v>255</v>
      </c>
      <c r="E159" s="12">
        <v>999.96</v>
      </c>
      <c r="F159" s="11" t="str">
        <f>IF(SUMIF(RawData!D:D,RawData!D159,RawData!N:N)&gt;5000,"High Value","Normal")</f>
        <v>Normal</v>
      </c>
    </row>
    <row r="160" spans="4:6">
      <c r="D160" s="8" t="s">
        <v>51</v>
      </c>
      <c r="E160" s="9">
        <v>2799.96</v>
      </c>
      <c r="F160" s="8" t="str">
        <f>IF(SUMIF(RawData!D:D,RawData!D160,RawData!N:N)&gt;5000,"High Value","Normal")</f>
        <v>High Value</v>
      </c>
    </row>
    <row r="161" spans="4:6">
      <c r="D161" s="11" t="s">
        <v>111</v>
      </c>
      <c r="E161" s="12">
        <v>499.98</v>
      </c>
      <c r="F161" s="11" t="str">
        <f>IF(SUMIF(RawData!D:D,RawData!D161,RawData!N:N)&gt;5000,"High Value","Normal")</f>
        <v>Normal</v>
      </c>
    </row>
    <row r="162" spans="4:6">
      <c r="D162" s="8" t="s">
        <v>307</v>
      </c>
      <c r="E162" s="9">
        <v>179.97</v>
      </c>
      <c r="F162" s="8" t="str">
        <f>IF(SUMIF(RawData!D:D,RawData!D162,RawData!N:N)&gt;5000,"High Value","Normal")</f>
        <v>Normal</v>
      </c>
    </row>
    <row r="163" spans="4:6">
      <c r="D163" s="11" t="s">
        <v>144</v>
      </c>
      <c r="E163" s="12">
        <v>319.95999999999998</v>
      </c>
      <c r="F163" s="11" t="str">
        <f>IF(SUMIF(RawData!D:D,RawData!D163,RawData!N:N)&gt;5000,"High Value","Normal")</f>
        <v>Normal</v>
      </c>
    </row>
    <row r="164" spans="4:6">
      <c r="D164" s="8" t="s">
        <v>123</v>
      </c>
      <c r="E164" s="9">
        <v>239.97</v>
      </c>
      <c r="F164" s="8" t="str">
        <f>IF(SUMIF(RawData!D:D,RawData!D164,RawData!N:N)&gt;5000,"High Value","Normal")</f>
        <v>High Value</v>
      </c>
    </row>
    <row r="165" spans="4:6">
      <c r="D165" s="11" t="s">
        <v>75</v>
      </c>
      <c r="E165" s="12">
        <v>1799.98</v>
      </c>
      <c r="F165" s="11" t="str">
        <f>IF(SUMIF(RawData!D:D,RawData!D165,RawData!N:N)&gt;5000,"High Value","Normal")</f>
        <v>High Value</v>
      </c>
    </row>
    <row r="166" spans="4:6">
      <c r="D166" s="8" t="s">
        <v>185</v>
      </c>
      <c r="E166" s="9">
        <v>149.99</v>
      </c>
      <c r="F166" s="8" t="str">
        <f>IF(SUMIF(RawData!D:D,RawData!D166,RawData!N:N)&gt;5000,"High Value","Normal")</f>
        <v>Normal</v>
      </c>
    </row>
    <row r="167" spans="4:6">
      <c r="D167" s="11" t="s">
        <v>141</v>
      </c>
      <c r="E167" s="12">
        <v>599.98</v>
      </c>
      <c r="F167" s="11" t="str">
        <f>IF(SUMIF(RawData!D:D,RawData!D167,RawData!N:N)&gt;5000,"High Value","Normal")</f>
        <v>Normal</v>
      </c>
    </row>
    <row r="168" spans="4:6">
      <c r="D168" s="8" t="s">
        <v>135</v>
      </c>
      <c r="E168" s="9">
        <v>119.98</v>
      </c>
      <c r="F168" s="8" t="str">
        <f>IF(SUMIF(RawData!D:D,RawData!D168,RawData!N:N)&gt;5000,"High Value","Normal")</f>
        <v>Normal</v>
      </c>
    </row>
    <row r="169" spans="4:6">
      <c r="D169" s="11" t="s">
        <v>185</v>
      </c>
      <c r="E169" s="12">
        <v>89.99</v>
      </c>
      <c r="F169" s="11" t="str">
        <f>IF(SUMIF(RawData!D:D,RawData!D169,RawData!N:N)&gt;5000,"High Value","Normal")</f>
        <v>Normal</v>
      </c>
    </row>
    <row r="170" spans="4:6">
      <c r="D170" s="8" t="s">
        <v>150</v>
      </c>
      <c r="E170" s="9">
        <v>4499.95</v>
      </c>
      <c r="F170" s="8" t="str">
        <f>IF(SUMIF(RawData!D:D,RawData!D170,RawData!N:N)&gt;5000,"High Value","Normal")</f>
        <v>High Value</v>
      </c>
    </row>
    <row r="171" spans="4:6">
      <c r="D171" s="11" t="s">
        <v>45</v>
      </c>
      <c r="E171" s="12">
        <v>299.98</v>
      </c>
      <c r="F171" s="11" t="str">
        <f>IF(SUMIF(RawData!D:D,RawData!D171,RawData!N:N)&gt;5000,"High Value","Normal")</f>
        <v>High Value</v>
      </c>
    </row>
    <row r="172" spans="4:6">
      <c r="D172" s="8" t="s">
        <v>115</v>
      </c>
      <c r="E172" s="9">
        <v>299.98</v>
      </c>
      <c r="F172" s="8" t="str">
        <f>IF(SUMIF(RawData!D:D,RawData!D172,RawData!N:N)&gt;5000,"High Value","Normal")</f>
        <v>Normal</v>
      </c>
    </row>
    <row r="173" spans="4:6">
      <c r="D173" s="11" t="s">
        <v>185</v>
      </c>
      <c r="E173" s="12">
        <v>449.97</v>
      </c>
      <c r="F173" s="11" t="str">
        <f>IF(SUMIF(RawData!D:D,RawData!D173,RawData!N:N)&gt;5000,"High Value","Normal")</f>
        <v>Normal</v>
      </c>
    </row>
    <row r="174" spans="4:6">
      <c r="D174" s="8" t="s">
        <v>32</v>
      </c>
      <c r="E174" s="9">
        <v>599.98</v>
      </c>
      <c r="F174" s="8" t="str">
        <f>IF(SUMIF(RawData!D:D,RawData!D174,RawData!N:N)&gt;5000,"High Value","Normal")</f>
        <v>Normal</v>
      </c>
    </row>
    <row r="175" spans="4:6">
      <c r="D175" s="11" t="s">
        <v>45</v>
      </c>
      <c r="E175" s="12">
        <v>599.98</v>
      </c>
      <c r="F175" s="11" t="str">
        <f>IF(SUMIF(RawData!D:D,RawData!D175,RawData!N:N)&gt;5000,"High Value","Normal")</f>
        <v>High Value</v>
      </c>
    </row>
    <row r="176" spans="4:6">
      <c r="D176" s="8" t="s">
        <v>123</v>
      </c>
      <c r="E176" s="9">
        <v>799.96</v>
      </c>
      <c r="F176" s="8" t="str">
        <f>IF(SUMIF(RawData!D:D,RawData!D176,RawData!N:N)&gt;5000,"High Value","Normal")</f>
        <v>High Value</v>
      </c>
    </row>
    <row r="177" spans="4:6">
      <c r="D177" s="11" t="s">
        <v>62</v>
      </c>
      <c r="E177" s="12">
        <v>89.99</v>
      </c>
      <c r="F177" s="11" t="str">
        <f>IF(SUMIF(RawData!D:D,RawData!D177,RawData!N:N)&gt;5000,"High Value","Normal")</f>
        <v>Normal</v>
      </c>
    </row>
    <row r="178" spans="4:6">
      <c r="D178" s="8" t="s">
        <v>111</v>
      </c>
      <c r="E178" s="9">
        <v>749.95</v>
      </c>
      <c r="F178" s="8" t="str">
        <f>IF(SUMIF(RawData!D:D,RawData!D178,RawData!N:N)&gt;5000,"High Value","Normal")</f>
        <v>Normal</v>
      </c>
    </row>
    <row r="179" spans="4:6">
      <c r="D179" s="11" t="s">
        <v>89</v>
      </c>
      <c r="E179" s="12">
        <v>899.99</v>
      </c>
      <c r="F179" s="11" t="str">
        <f>IF(SUMIF(RawData!D:D,RawData!D179,RawData!N:N)&gt;5000,"High Value","Normal")</f>
        <v>High Value</v>
      </c>
    </row>
    <row r="180" spans="4:6">
      <c r="D180" s="8" t="s">
        <v>150</v>
      </c>
      <c r="E180" s="9">
        <v>179.98</v>
      </c>
      <c r="F180" s="8" t="str">
        <f>IF(SUMIF(RawData!D:D,RawData!D180,RawData!N:N)&gt;5000,"High Value","Normal")</f>
        <v>High Value</v>
      </c>
    </row>
    <row r="181" spans="4:6">
      <c r="D181" s="11" t="s">
        <v>328</v>
      </c>
      <c r="E181" s="12">
        <v>899.99</v>
      </c>
      <c r="F181" s="11" t="str">
        <f>IF(SUMIF(RawData!D:D,RawData!D181,RawData!N:N)&gt;5000,"High Value","Normal")</f>
        <v>Normal</v>
      </c>
    </row>
    <row r="182" spans="4:6">
      <c r="D182" s="8" t="s">
        <v>132</v>
      </c>
      <c r="E182" s="9">
        <v>749.95</v>
      </c>
      <c r="F182" s="8" t="str">
        <f>IF(SUMIF(RawData!D:D,RawData!D182,RawData!N:N)&gt;5000,"High Value","Normal")</f>
        <v>Normal</v>
      </c>
    </row>
    <row r="183" spans="4:6">
      <c r="D183" s="11" t="s">
        <v>45</v>
      </c>
      <c r="E183" s="12">
        <v>899.97</v>
      </c>
      <c r="F183" s="11" t="str">
        <f>IF(SUMIF(RawData!D:D,RawData!D183,RawData!N:N)&gt;5000,"High Value","Normal")</f>
        <v>High Value</v>
      </c>
    </row>
    <row r="184" spans="4:6">
      <c r="D184" s="8" t="s">
        <v>68</v>
      </c>
      <c r="E184" s="9">
        <v>2099.9699999999998</v>
      </c>
      <c r="F184" s="8" t="str">
        <f>IF(SUMIF(RawData!D:D,RawData!D184,RawData!N:N)&gt;5000,"High Value","Normal")</f>
        <v>High Value</v>
      </c>
    </row>
    <row r="185" spans="4:6">
      <c r="D185" s="11" t="s">
        <v>111</v>
      </c>
      <c r="E185" s="12">
        <v>999.95</v>
      </c>
      <c r="F185" s="11" t="str">
        <f>IF(SUMIF(RawData!D:D,RawData!D185,RawData!N:N)&gt;5000,"High Value","Normal")</f>
        <v>Normal</v>
      </c>
    </row>
    <row r="186" spans="4:6">
      <c r="D186" s="8" t="s">
        <v>96</v>
      </c>
      <c r="E186" s="9">
        <v>1249.95</v>
      </c>
      <c r="F186" s="8" t="str">
        <f>IF(SUMIF(RawData!D:D,RawData!D186,RawData!N:N)&gt;5000,"High Value","Normal")</f>
        <v>Normal</v>
      </c>
    </row>
    <row r="187" spans="4:6">
      <c r="D187" s="11" t="s">
        <v>141</v>
      </c>
      <c r="E187" s="12">
        <v>599.96</v>
      </c>
      <c r="F187" s="11" t="str">
        <f>IF(SUMIF(RawData!D:D,RawData!D187,RawData!N:N)&gt;5000,"High Value","Normal")</f>
        <v>Normal</v>
      </c>
    </row>
    <row r="188" spans="4:6">
      <c r="D188" s="8" t="s">
        <v>81</v>
      </c>
      <c r="E188" s="9">
        <v>2099.9699999999998</v>
      </c>
      <c r="F188" s="8" t="str">
        <f>IF(SUMIF(RawData!D:D,RawData!D188,RawData!N:N)&gt;5000,"High Value","Normal")</f>
        <v>Normal</v>
      </c>
    </row>
    <row r="189" spans="4:6">
      <c r="D189" s="11" t="s">
        <v>296</v>
      </c>
      <c r="E189" s="12">
        <v>79.989999999999995</v>
      </c>
      <c r="F189" s="11" t="str">
        <f>IF(SUMIF(RawData!D:D,RawData!D189,RawData!N:N)&gt;5000,"High Value","Normal")</f>
        <v>Normal</v>
      </c>
    </row>
    <row r="190" spans="4:6">
      <c r="D190" s="8" t="s">
        <v>89</v>
      </c>
      <c r="E190" s="9">
        <v>299.99</v>
      </c>
      <c r="F190" s="8" t="str">
        <f>IF(SUMIF(RawData!D:D,RawData!D190,RawData!N:N)&gt;5000,"High Value","Normal")</f>
        <v>High Value</v>
      </c>
    </row>
    <row r="191" spans="4:6">
      <c r="D191" s="11" t="s">
        <v>161</v>
      </c>
      <c r="E191" s="12">
        <v>999.96</v>
      </c>
      <c r="F191" s="11" t="str">
        <f>IF(SUMIF(RawData!D:D,RawData!D191,RawData!N:N)&gt;5000,"High Value","Normal")</f>
        <v>High Value</v>
      </c>
    </row>
    <row r="192" spans="4:6">
      <c r="D192" s="8" t="s">
        <v>123</v>
      </c>
      <c r="E192" s="9">
        <v>299.98</v>
      </c>
      <c r="F192" s="8" t="str">
        <f>IF(SUMIF(RawData!D:D,RawData!D192,RawData!N:N)&gt;5000,"High Value","Normal")</f>
        <v>High Value</v>
      </c>
    </row>
    <row r="193" spans="4:6">
      <c r="D193" s="11" t="s">
        <v>237</v>
      </c>
      <c r="E193" s="12">
        <v>899.97</v>
      </c>
      <c r="F193" s="11" t="str">
        <f>IF(SUMIF(RawData!D:D,RawData!D193,RawData!N:N)&gt;5000,"High Value","Normal")</f>
        <v>High Value</v>
      </c>
    </row>
    <row r="194" spans="4:6">
      <c r="D194" s="8" t="s">
        <v>229</v>
      </c>
      <c r="E194" s="9">
        <v>799.96</v>
      </c>
      <c r="F194" s="8" t="str">
        <f>IF(SUMIF(RawData!D:D,RawData!D194,RawData!N:N)&gt;5000,"High Value","Normal")</f>
        <v>High Value</v>
      </c>
    </row>
    <row r="195" spans="4:6">
      <c r="D195" s="11" t="s">
        <v>214</v>
      </c>
      <c r="E195" s="12">
        <v>1499.95</v>
      </c>
      <c r="F195" s="11" t="str">
        <f>IF(SUMIF(RawData!D:D,RawData!D195,RawData!N:N)&gt;5000,"High Value","Normal")</f>
        <v>Normal</v>
      </c>
    </row>
    <row r="196" spans="4:6">
      <c r="D196" s="8" t="s">
        <v>62</v>
      </c>
      <c r="E196" s="9">
        <v>449.97</v>
      </c>
      <c r="F196" s="8" t="str">
        <f>IF(SUMIF(RawData!D:D,RawData!D196,RawData!N:N)&gt;5000,"High Value","Normal")</f>
        <v>Normal</v>
      </c>
    </row>
    <row r="197" spans="4:6">
      <c r="D197" s="11" t="s">
        <v>132</v>
      </c>
      <c r="E197" s="12">
        <v>299.95</v>
      </c>
      <c r="F197" s="11" t="str">
        <f>IF(SUMIF(RawData!D:D,RawData!D197,RawData!N:N)&gt;5000,"High Value","Normal")</f>
        <v>Normal</v>
      </c>
    </row>
    <row r="198" spans="4:6">
      <c r="D198" s="8" t="s">
        <v>71</v>
      </c>
      <c r="E198" s="9">
        <v>239.96</v>
      </c>
      <c r="F198" s="8" t="str">
        <f>IF(SUMIF(RawData!D:D,RawData!D198,RawData!N:N)&gt;5000,"High Value","Normal")</f>
        <v>Normal</v>
      </c>
    </row>
    <row r="199" spans="4:6">
      <c r="D199" s="11" t="s">
        <v>51</v>
      </c>
      <c r="E199" s="12">
        <v>999.96</v>
      </c>
      <c r="F199" s="11" t="str">
        <f>IF(SUMIF(RawData!D:D,RawData!D199,RawData!N:N)&gt;5000,"High Value","Normal")</f>
        <v>High Value</v>
      </c>
    </row>
    <row r="200" spans="4:6">
      <c r="D200" s="8" t="s">
        <v>255</v>
      </c>
      <c r="E200" s="9">
        <v>3599.96</v>
      </c>
      <c r="F200" s="8" t="str">
        <f>IF(SUMIF(RawData!D:D,RawData!D200,RawData!N:N)&gt;5000,"High Value","Normal")</f>
        <v>Normal</v>
      </c>
    </row>
    <row r="201" spans="4:6">
      <c r="D201" s="11" t="s">
        <v>89</v>
      </c>
      <c r="E201" s="12">
        <v>899.97</v>
      </c>
      <c r="F201" s="11" t="str">
        <f>IF(SUMIF(RawData!D:D,RawData!D201,RawData!N:N)&gt;5000,"High Value","Normal")</f>
        <v>High Value</v>
      </c>
    </row>
    <row r="202" spans="4:6">
      <c r="D202" s="8" t="s">
        <v>296</v>
      </c>
      <c r="E202" s="9">
        <v>1399.98</v>
      </c>
      <c r="F202" s="8" t="str">
        <f>IF(SUMIF(RawData!D:D,RawData!D202,RawData!N:N)&gt;5000,"High Value","Normal")</f>
        <v>Normal</v>
      </c>
    </row>
    <row r="203" spans="4:6">
      <c r="D203" s="11" t="s">
        <v>68</v>
      </c>
      <c r="E203" s="12">
        <v>2799.96</v>
      </c>
      <c r="F203" s="11" t="str">
        <f>IF(SUMIF(RawData!D:D,RawData!D203,RawData!N:N)&gt;5000,"High Value","Normal")</f>
        <v>High Value</v>
      </c>
    </row>
    <row r="204" spans="4:6">
      <c r="D204" s="8" t="s">
        <v>126</v>
      </c>
      <c r="E204" s="9">
        <v>179.98</v>
      </c>
      <c r="F204" s="8" t="str">
        <f>IF(SUMIF(RawData!D:D,RawData!D204,RawData!N:N)&gt;5000,"High Value","Normal")</f>
        <v>High Value</v>
      </c>
    </row>
    <row r="205" spans="4:6">
      <c r="D205" s="11" t="s">
        <v>45</v>
      </c>
      <c r="E205" s="12">
        <v>269.97000000000003</v>
      </c>
      <c r="F205" s="11" t="str">
        <f>IF(SUMIF(RawData!D:D,RawData!D205,RawData!N:N)&gt;5000,"High Value","Normal")</f>
        <v>High Value</v>
      </c>
    </row>
    <row r="206" spans="4:6">
      <c r="D206" s="8" t="s">
        <v>328</v>
      </c>
      <c r="E206" s="9">
        <v>59.99</v>
      </c>
      <c r="F206" s="8" t="str">
        <f>IF(SUMIF(RawData!D:D,RawData!D206,RawData!N:N)&gt;5000,"High Value","Normal")</f>
        <v>Normal</v>
      </c>
    </row>
    <row r="207" spans="4:6">
      <c r="D207" s="11" t="s">
        <v>249</v>
      </c>
      <c r="E207" s="12">
        <v>449.97</v>
      </c>
      <c r="F207" s="11" t="str">
        <f>IF(SUMIF(RawData!D:D,RawData!D207,RawData!N:N)&gt;5000,"High Value","Normal")</f>
        <v>Normal</v>
      </c>
    </row>
    <row r="208" spans="4:6">
      <c r="D208" s="8" t="s">
        <v>96</v>
      </c>
      <c r="E208" s="9">
        <v>1499.95</v>
      </c>
      <c r="F208" s="8" t="str">
        <f>IF(SUMIF(RawData!D:D,RawData!D208,RawData!N:N)&gt;5000,"High Value","Normal")</f>
        <v>Normal</v>
      </c>
    </row>
    <row r="209" spans="4:6">
      <c r="D209" s="11" t="s">
        <v>153</v>
      </c>
      <c r="E209" s="12">
        <v>299.95</v>
      </c>
      <c r="F209" s="11" t="str">
        <f>IF(SUMIF(RawData!D:D,RawData!D209,RawData!N:N)&gt;5000,"High Value","Normal")</f>
        <v>High Value</v>
      </c>
    </row>
    <row r="210" spans="4:6">
      <c r="D210" s="8" t="s">
        <v>111</v>
      </c>
      <c r="E210" s="9">
        <v>239.97</v>
      </c>
      <c r="F210" s="8" t="str">
        <f>IF(SUMIF(RawData!D:D,RawData!D210,RawData!N:N)&gt;5000,"High Value","Normal")</f>
        <v>Normal</v>
      </c>
    </row>
    <row r="211" spans="4:6">
      <c r="D211" s="11" t="s">
        <v>32</v>
      </c>
      <c r="E211" s="12">
        <v>599.97</v>
      </c>
      <c r="F211" s="11" t="str">
        <f>IF(SUMIF(RawData!D:D,RawData!D211,RawData!N:N)&gt;5000,"High Value","Normal")</f>
        <v>Normal</v>
      </c>
    </row>
    <row r="212" spans="4:6">
      <c r="D212" s="8" t="s">
        <v>18</v>
      </c>
      <c r="E212" s="9">
        <v>179.98</v>
      </c>
      <c r="F212" s="8" t="str">
        <f>IF(SUMIF(RawData!D:D,RawData!D212,RawData!N:N)&gt;5000,"High Value","Normal")</f>
        <v>High Value</v>
      </c>
    </row>
    <row r="213" spans="4:6">
      <c r="D213" s="11" t="s">
        <v>262</v>
      </c>
      <c r="E213" s="12">
        <v>299.98</v>
      </c>
      <c r="F213" s="11" t="str">
        <f>IF(SUMIF(RawData!D:D,RawData!D213,RawData!N:N)&gt;5000,"High Value","Normal")</f>
        <v>Normal</v>
      </c>
    </row>
    <row r="214" spans="4:6">
      <c r="D214" s="8" t="s">
        <v>126</v>
      </c>
      <c r="E214" s="9">
        <v>3499.95</v>
      </c>
      <c r="F214" s="8" t="str">
        <f>IF(SUMIF(RawData!D:D,RawData!D214,RawData!N:N)&gt;5000,"High Value","Normal")</f>
        <v>High Value</v>
      </c>
    </row>
    <row r="215" spans="4:6">
      <c r="D215" s="11" t="s">
        <v>45</v>
      </c>
      <c r="E215" s="12">
        <v>449.97</v>
      </c>
      <c r="F215" s="11" t="str">
        <f>IF(SUMIF(RawData!D:D,RawData!D215,RawData!N:N)&gt;5000,"High Value","Normal")</f>
        <v>High Value</v>
      </c>
    </row>
    <row r="216" spans="4:6">
      <c r="D216" s="8" t="s">
        <v>99</v>
      </c>
      <c r="E216" s="9">
        <v>2699.97</v>
      </c>
      <c r="F216" s="8" t="str">
        <f>IF(SUMIF(RawData!D:D,RawData!D216,RawData!N:N)&gt;5000,"High Value","Normal")</f>
        <v>High Value</v>
      </c>
    </row>
    <row r="217" spans="4:6">
      <c r="D217" s="11" t="s">
        <v>195</v>
      </c>
      <c r="E217" s="12">
        <v>599.97</v>
      </c>
      <c r="F217" s="11" t="str">
        <f>IF(SUMIF(RawData!D:D,RawData!D217,RawData!N:N)&gt;5000,"High Value","Normal")</f>
        <v>Normal</v>
      </c>
    </row>
    <row r="218" spans="4:6">
      <c r="D218" s="8" t="s">
        <v>58</v>
      </c>
      <c r="E218" s="9">
        <v>1499.95</v>
      </c>
      <c r="F218" s="8" t="str">
        <f>IF(SUMIF(RawData!D:D,RawData!D218,RawData!N:N)&gt;5000,"High Value","Normal")</f>
        <v>High Value</v>
      </c>
    </row>
    <row r="219" spans="4:6">
      <c r="D219" s="11" t="s">
        <v>153</v>
      </c>
      <c r="E219" s="12">
        <v>699.99</v>
      </c>
      <c r="F219" s="11" t="str">
        <f>IF(SUMIF(RawData!D:D,RawData!D219,RawData!N:N)&gt;5000,"High Value","Normal")</f>
        <v>High Value</v>
      </c>
    </row>
    <row r="220" spans="4:6">
      <c r="D220" s="8" t="s">
        <v>249</v>
      </c>
      <c r="E220" s="9">
        <v>699.99</v>
      </c>
      <c r="F220" s="8" t="str">
        <f>IF(SUMIF(RawData!D:D,RawData!D220,RawData!N:N)&gt;5000,"High Value","Normal")</f>
        <v>Normal</v>
      </c>
    </row>
    <row r="221" spans="4:6">
      <c r="D221" s="11" t="s">
        <v>328</v>
      </c>
      <c r="E221" s="12">
        <v>599.96</v>
      </c>
      <c r="F221" s="11" t="str">
        <f>IF(SUMIF(RawData!D:D,RawData!D221,RawData!N:N)&gt;5000,"High Value","Normal")</f>
        <v>Normal</v>
      </c>
    </row>
    <row r="222" spans="4:6">
      <c r="D222" s="8" t="s">
        <v>214</v>
      </c>
      <c r="E222" s="9">
        <v>449.95</v>
      </c>
      <c r="F222" s="8" t="str">
        <f>IF(SUMIF(RawData!D:D,RawData!D222,RawData!N:N)&gt;5000,"High Value","Normal")</f>
        <v>Normal</v>
      </c>
    </row>
    <row r="223" spans="4:6">
      <c r="D223" s="11" t="s">
        <v>141</v>
      </c>
      <c r="E223" s="12">
        <v>399.98</v>
      </c>
      <c r="F223" s="11" t="str">
        <f>IF(SUMIF(RawData!D:D,RawData!D223,RawData!N:N)&gt;5000,"High Value","Normal")</f>
        <v>Normal</v>
      </c>
    </row>
    <row r="224" spans="4:6">
      <c r="D224" s="8" t="s">
        <v>262</v>
      </c>
      <c r="E224" s="9">
        <v>239.96</v>
      </c>
      <c r="F224" s="8" t="str">
        <f>IF(SUMIF(RawData!D:D,RawData!D224,RawData!N:N)&gt;5000,"High Value","Normal")</f>
        <v>Normal</v>
      </c>
    </row>
    <row r="225" spans="4:6">
      <c r="D225" s="11" t="s">
        <v>96</v>
      </c>
      <c r="E225" s="12">
        <v>599.98</v>
      </c>
      <c r="F225" s="11" t="str">
        <f>IF(SUMIF(RawData!D:D,RawData!D225,RawData!N:N)&gt;5000,"High Value","Normal")</f>
        <v>Normal</v>
      </c>
    </row>
    <row r="226" spans="4:6">
      <c r="D226" s="8" t="s">
        <v>58</v>
      </c>
      <c r="E226" s="9">
        <v>299.98</v>
      </c>
      <c r="F226" s="8" t="str">
        <f>IF(SUMIF(RawData!D:D,RawData!D226,RawData!N:N)&gt;5000,"High Value","Normal")</f>
        <v>High Value</v>
      </c>
    </row>
    <row r="227" spans="4:6">
      <c r="D227" s="11" t="s">
        <v>229</v>
      </c>
      <c r="E227" s="12">
        <v>3499.95</v>
      </c>
      <c r="F227" s="11" t="str">
        <f>IF(SUMIF(RawData!D:D,RawData!D227,RawData!N:N)&gt;5000,"High Value","Normal")</f>
        <v>High Value</v>
      </c>
    </row>
    <row r="228" spans="4:6">
      <c r="D228" s="8" t="s">
        <v>78</v>
      </c>
      <c r="E228" s="9">
        <v>299.95</v>
      </c>
      <c r="F228" s="8" t="str">
        <f>IF(SUMIF(RawData!D:D,RawData!D228,RawData!N:N)&gt;5000,"High Value","Normal")</f>
        <v>Normal</v>
      </c>
    </row>
    <row r="229" spans="4:6">
      <c r="D229" s="11" t="s">
        <v>18</v>
      </c>
      <c r="E229" s="12">
        <v>179.98</v>
      </c>
      <c r="F229" s="11" t="str">
        <f>IF(SUMIF(RawData!D:D,RawData!D229,RawData!N:N)&gt;5000,"High Value","Normal")</f>
        <v>High Value</v>
      </c>
    </row>
    <row r="230" spans="4:6">
      <c r="D230" s="8" t="s">
        <v>123</v>
      </c>
      <c r="E230" s="9">
        <v>1249.95</v>
      </c>
      <c r="F230" s="8" t="str">
        <f>IF(SUMIF(RawData!D:D,RawData!D230,RawData!N:N)&gt;5000,"High Value","Normal")</f>
        <v>High Value</v>
      </c>
    </row>
    <row r="231" spans="4:6">
      <c r="D231" s="11" t="s">
        <v>229</v>
      </c>
      <c r="E231" s="12">
        <v>299.98</v>
      </c>
      <c r="F231" s="11" t="str">
        <f>IF(SUMIF(RawData!D:D,RawData!D231,RawData!N:N)&gt;5000,"High Value","Normal")</f>
        <v>High Value</v>
      </c>
    </row>
    <row r="232" spans="4:6">
      <c r="D232" s="8" t="s">
        <v>147</v>
      </c>
      <c r="E232" s="9">
        <v>4499.95</v>
      </c>
      <c r="F232" s="8" t="str">
        <f>IF(SUMIF(RawData!D:D,RawData!D232,RawData!N:N)&gt;5000,"High Value","Normal")</f>
        <v>High Value</v>
      </c>
    </row>
    <row r="233" spans="4:6">
      <c r="D233" s="11" t="s">
        <v>58</v>
      </c>
      <c r="E233" s="12">
        <v>599.96</v>
      </c>
      <c r="F233" s="11" t="str">
        <f>IF(SUMIF(RawData!D:D,RawData!D233,RawData!N:N)&gt;5000,"High Value","Normal")</f>
        <v>High Value</v>
      </c>
    </row>
    <row r="234" spans="4:6">
      <c r="D234" s="8" t="s">
        <v>147</v>
      </c>
      <c r="E234" s="9">
        <v>249.99</v>
      </c>
      <c r="F234" s="8" t="str">
        <f>IF(SUMIF(RawData!D:D,RawData!D234,RawData!N:N)&gt;5000,"High Value","Normal")</f>
        <v>High Value</v>
      </c>
    </row>
    <row r="235" spans="4:6">
      <c r="D235" s="11" t="s">
        <v>195</v>
      </c>
      <c r="E235" s="12">
        <v>119.98</v>
      </c>
      <c r="F235" s="11" t="str">
        <f>IF(SUMIF(RawData!D:D,RawData!D235,RawData!N:N)&gt;5000,"High Value","Normal")</f>
        <v>Normal</v>
      </c>
    </row>
    <row r="236" spans="4:6">
      <c r="D236" s="8" t="s">
        <v>135</v>
      </c>
      <c r="E236" s="9">
        <v>299.98</v>
      </c>
      <c r="F236" s="8" t="str">
        <f>IF(SUMIF(RawData!D:D,RawData!D236,RawData!N:N)&gt;5000,"High Value","Normal")</f>
        <v>Normal</v>
      </c>
    </row>
    <row r="237" spans="4:6">
      <c r="D237" s="11" t="s">
        <v>153</v>
      </c>
      <c r="E237" s="12">
        <v>2699.97</v>
      </c>
      <c r="F237" s="11" t="str">
        <f>IF(SUMIF(RawData!D:D,RawData!D237,RawData!N:N)&gt;5000,"High Value","Normal")</f>
        <v>High Value</v>
      </c>
    </row>
    <row r="238" spans="4:6">
      <c r="D238" s="8" t="s">
        <v>51</v>
      </c>
      <c r="E238" s="9">
        <v>2699.97</v>
      </c>
      <c r="F238" s="8" t="str">
        <f>IF(SUMIF(RawData!D:D,RawData!D238,RawData!N:N)&gt;5000,"High Value","Normal")</f>
        <v>High Value</v>
      </c>
    </row>
    <row r="239" spans="4:6">
      <c r="D239" s="11" t="s">
        <v>18</v>
      </c>
      <c r="E239" s="12">
        <v>899.97</v>
      </c>
      <c r="F239" s="11" t="str">
        <f>IF(SUMIF(RawData!D:D,RawData!D239,RawData!N:N)&gt;5000,"High Value","Normal")</f>
        <v>High Value</v>
      </c>
    </row>
    <row r="240" spans="4:6">
      <c r="D240" s="8" t="s">
        <v>389</v>
      </c>
      <c r="E240" s="9">
        <v>599.96</v>
      </c>
      <c r="F240" s="8" t="str">
        <f>IF(SUMIF(RawData!D:D,RawData!D240,RawData!N:N)&gt;5000,"High Value","Normal")</f>
        <v>Normal</v>
      </c>
    </row>
    <row r="241" spans="4:6">
      <c r="D241" s="11" t="s">
        <v>105</v>
      </c>
      <c r="E241" s="12">
        <v>319.95999999999998</v>
      </c>
      <c r="F241" s="11" t="str">
        <f>IF(SUMIF(RawData!D:D,RawData!D241,RawData!N:N)&gt;5000,"High Value","Normal")</f>
        <v>Normal</v>
      </c>
    </row>
    <row r="242" spans="4:6">
      <c r="D242" s="8" t="s">
        <v>188</v>
      </c>
      <c r="E242" s="9">
        <v>449.95</v>
      </c>
      <c r="F242" s="8" t="str">
        <f>IF(SUMIF(RawData!D:D,RawData!D242,RawData!N:N)&gt;5000,"High Value","Normal")</f>
        <v>Normal</v>
      </c>
    </row>
    <row r="243" spans="4:6">
      <c r="D243" s="11" t="s">
        <v>96</v>
      </c>
      <c r="E243" s="12">
        <v>449.97</v>
      </c>
      <c r="F243" s="11" t="str">
        <f>IF(SUMIF(RawData!D:D,RawData!D243,RawData!N:N)&gt;5000,"High Value","Normal")</f>
        <v>Normal</v>
      </c>
    </row>
    <row r="244" spans="4:6">
      <c r="D244" s="8" t="s">
        <v>68</v>
      </c>
      <c r="E244" s="9">
        <v>179.98</v>
      </c>
      <c r="F244" s="8" t="str">
        <f>IF(SUMIF(RawData!D:D,RawData!D244,RawData!N:N)&gt;5000,"High Value","Normal")</f>
        <v>High Value</v>
      </c>
    </row>
    <row r="245" spans="4:6">
      <c r="D245" s="11" t="s">
        <v>105</v>
      </c>
      <c r="E245" s="12">
        <v>1399.98</v>
      </c>
      <c r="F245" s="11" t="str">
        <f>IF(SUMIF(RawData!D:D,RawData!D245,RawData!N:N)&gt;5000,"High Value","Normal")</f>
        <v>Normal</v>
      </c>
    </row>
    <row r="246" spans="4:6">
      <c r="D246" s="8" t="s">
        <v>126</v>
      </c>
      <c r="E246" s="9">
        <v>2699.97</v>
      </c>
      <c r="F246" s="8" t="str">
        <f>IF(SUMIF(RawData!D:D,RawData!D246,RawData!N:N)&gt;5000,"High Value","Normal")</f>
        <v>High Value</v>
      </c>
    </row>
    <row r="247" spans="4:6">
      <c r="D247" s="11" t="s">
        <v>96</v>
      </c>
      <c r="E247" s="12">
        <v>239.97</v>
      </c>
      <c r="F247" s="11" t="str">
        <f>IF(SUMIF(RawData!D:D,RawData!D247,RawData!N:N)&gt;5000,"High Value","Normal")</f>
        <v>Normal</v>
      </c>
    </row>
    <row r="248" spans="4:6">
      <c r="D248" s="8" t="s">
        <v>62</v>
      </c>
      <c r="E248" s="9">
        <v>89.99</v>
      </c>
      <c r="F248" s="8" t="str">
        <f>IF(SUMIF(RawData!D:D,RawData!D248,RawData!N:N)&gt;5000,"High Value","Normal")</f>
        <v>Normal</v>
      </c>
    </row>
    <row r="249" spans="4:6">
      <c r="D249" s="11" t="s">
        <v>296</v>
      </c>
      <c r="E249" s="12">
        <v>2099.9699999999998</v>
      </c>
      <c r="F249" s="11" t="str">
        <f>IF(SUMIF(RawData!D:D,RawData!D249,RawData!N:N)&gt;5000,"High Value","Normal")</f>
        <v>Normal</v>
      </c>
    </row>
    <row r="250" spans="4:6">
      <c r="D250" s="8" t="s">
        <v>229</v>
      </c>
      <c r="E250" s="9">
        <v>179.98</v>
      </c>
      <c r="F250" s="8" t="str">
        <f>IF(SUMIF(RawData!D:D,RawData!D250,RawData!N:N)&gt;5000,"High Value","Normal")</f>
        <v>High Value</v>
      </c>
    </row>
    <row r="251" spans="4:6">
      <c r="D251" s="13" t="s">
        <v>141</v>
      </c>
      <c r="E251" s="14">
        <v>269.97000000000003</v>
      </c>
      <c r="F251" s="13" t="str">
        <f>IF(SUMIF(RawData!D:D,RawData!D251,RawData!N:N)&gt;5000,"High Value","Normal")</f>
        <v>Normal</v>
      </c>
    </row>
  </sheetData>
  <conditionalFormatting sqref="F2:F251">
    <cfRule type="cellIs" dxfId="0" priority="1" operator="equal">
      <formula>"High Value"</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72D79C7D-1035-4319-829B-1366FD76D5F8}">
            <x14:iconSet iconSet="3Triangles">
              <x14:cfvo type="percent">
                <xm:f>0</xm:f>
              </x14:cfvo>
              <x14:cfvo type="percent">
                <xm:f>33</xm:f>
              </x14:cfvo>
              <x14:cfvo type="percent">
                <xm:f>67</xm:f>
              </x14:cfvo>
            </x14:iconSet>
          </x14:cfRule>
          <xm:sqref>E1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N13"/>
  <sheetViews>
    <sheetView topLeftCell="D1" workbookViewId="0">
      <selection activeCell="G1" sqref="G1"/>
    </sheetView>
  </sheetViews>
  <sheetFormatPr defaultColWidth="9" defaultRowHeight="14.4"/>
  <cols>
    <col min="1" max="1" width="10.77734375" customWidth="1"/>
    <col min="2" max="2" width="19.77734375" customWidth="1"/>
    <col min="4" max="4" width="9" customWidth="1"/>
    <col min="5" max="5" width="19.77734375" customWidth="1"/>
    <col min="7" max="7" width="9" customWidth="1"/>
    <col min="8" max="8" width="19.77734375" customWidth="1"/>
    <col min="10" max="10" width="20" customWidth="1"/>
    <col min="11" max="11" width="19.77734375" customWidth="1"/>
    <col min="13" max="13" width="12.5546875" customWidth="1"/>
    <col min="14" max="14" width="14.88671875" customWidth="1"/>
  </cols>
  <sheetData>
    <row r="1" spans="1:14">
      <c r="A1" s="80" t="s">
        <v>6</v>
      </c>
      <c r="B1" t="s">
        <v>461</v>
      </c>
      <c r="D1" s="80" t="s">
        <v>10</v>
      </c>
      <c r="E1" t="s">
        <v>461</v>
      </c>
      <c r="G1" s="80" t="s">
        <v>463</v>
      </c>
      <c r="H1" t="s">
        <v>461</v>
      </c>
      <c r="J1" s="80" t="s">
        <v>11</v>
      </c>
      <c r="K1" t="s">
        <v>461</v>
      </c>
      <c r="M1" s="80" t="s">
        <v>464</v>
      </c>
      <c r="N1" t="s">
        <v>465</v>
      </c>
    </row>
    <row r="2" spans="1:14">
      <c r="A2" s="2" t="s">
        <v>35</v>
      </c>
      <c r="B2" s="3">
        <v>8338.7399999999961</v>
      </c>
      <c r="D2" s="2" t="s">
        <v>23</v>
      </c>
      <c r="E2" s="3">
        <v>41288.340000000018</v>
      </c>
      <c r="G2" s="4" t="s">
        <v>466</v>
      </c>
      <c r="H2" s="3">
        <v>25799.15</v>
      </c>
      <c r="J2" s="2" t="s">
        <v>24</v>
      </c>
      <c r="K2" s="3">
        <v>62177.810000000019</v>
      </c>
      <c r="M2" s="2" t="s">
        <v>34</v>
      </c>
      <c r="N2" s="3">
        <v>87</v>
      </c>
    </row>
    <row r="3" spans="1:14">
      <c r="A3" s="2" t="s">
        <v>21</v>
      </c>
      <c r="B3" s="3">
        <v>171756.05000000013</v>
      </c>
      <c r="D3" s="2" t="s">
        <v>65</v>
      </c>
      <c r="E3" s="3">
        <v>59288.389999999992</v>
      </c>
      <c r="G3" s="4" t="s">
        <v>467</v>
      </c>
      <c r="H3" s="3">
        <v>16069.379999999997</v>
      </c>
      <c r="J3" s="2" t="s">
        <v>29</v>
      </c>
      <c r="K3" s="3">
        <v>84657.12000000001</v>
      </c>
      <c r="M3" s="2" t="s">
        <v>47</v>
      </c>
      <c r="N3" s="3">
        <v>102</v>
      </c>
    </row>
    <row r="4" spans="1:14">
      <c r="A4" s="2" t="s">
        <v>48</v>
      </c>
      <c r="B4" s="3">
        <v>49097.680000000015</v>
      </c>
      <c r="D4" s="2" t="s">
        <v>42</v>
      </c>
      <c r="E4" s="3">
        <v>50808.310000000012</v>
      </c>
      <c r="G4" s="4" t="s">
        <v>468</v>
      </c>
      <c r="H4" s="3">
        <v>19899.379999999997</v>
      </c>
      <c r="J4" s="2" t="s">
        <v>38</v>
      </c>
      <c r="K4" s="3">
        <v>82357.540000000037</v>
      </c>
      <c r="M4" s="2" t="s">
        <v>117</v>
      </c>
      <c r="N4" s="3">
        <v>39</v>
      </c>
    </row>
    <row r="5" spans="1:14">
      <c r="D5" s="2" t="s">
        <v>37</v>
      </c>
      <c r="E5" s="3">
        <v>36398.750000000007</v>
      </c>
      <c r="G5" s="4" t="s">
        <v>469</v>
      </c>
      <c r="H5" s="3">
        <v>27899.160000000007</v>
      </c>
      <c r="M5" s="2" t="s">
        <v>108</v>
      </c>
      <c r="N5" s="3">
        <v>78</v>
      </c>
    </row>
    <row r="6" spans="1:14">
      <c r="D6" s="2" t="s">
        <v>52</v>
      </c>
      <c r="E6" s="3">
        <v>41408.680000000015</v>
      </c>
      <c r="G6" s="4" t="s">
        <v>470</v>
      </c>
      <c r="H6" s="3">
        <v>17039.349999999999</v>
      </c>
      <c r="M6" s="2" t="s">
        <v>55</v>
      </c>
      <c r="N6" s="3">
        <v>47</v>
      </c>
    </row>
    <row r="7" spans="1:14">
      <c r="G7" s="4" t="s">
        <v>471</v>
      </c>
      <c r="H7" s="3">
        <v>19299.45</v>
      </c>
      <c r="M7" s="2" t="s">
        <v>120</v>
      </c>
      <c r="N7" s="3">
        <v>89</v>
      </c>
    </row>
    <row r="8" spans="1:14">
      <c r="G8" s="4" t="s">
        <v>472</v>
      </c>
      <c r="H8" s="3">
        <v>18479.399999999994</v>
      </c>
      <c r="M8" s="2" t="s">
        <v>64</v>
      </c>
      <c r="N8" s="3">
        <v>75</v>
      </c>
    </row>
    <row r="9" spans="1:14">
      <c r="G9" s="4" t="s">
        <v>473</v>
      </c>
      <c r="H9" s="3">
        <v>15759.429999999997</v>
      </c>
      <c r="M9" s="2" t="s">
        <v>20</v>
      </c>
      <c r="N9" s="3">
        <v>88</v>
      </c>
    </row>
    <row r="10" spans="1:14">
      <c r="G10" s="4" t="s">
        <v>474</v>
      </c>
      <c r="H10" s="3">
        <v>12989.509999999997</v>
      </c>
      <c r="M10" s="2" t="s">
        <v>129</v>
      </c>
      <c r="N10" s="3">
        <v>52</v>
      </c>
    </row>
    <row r="11" spans="1:14">
      <c r="G11" s="4" t="s">
        <v>475</v>
      </c>
      <c r="H11" s="3">
        <v>20609.52</v>
      </c>
      <c r="M11" s="2" t="s">
        <v>83</v>
      </c>
      <c r="N11" s="3">
        <v>96</v>
      </c>
    </row>
    <row r="12" spans="1:14">
      <c r="G12" s="4" t="s">
        <v>476</v>
      </c>
      <c r="H12" s="3">
        <v>12309.439999999999</v>
      </c>
    </row>
    <row r="13" spans="1:14">
      <c r="G13" s="4" t="s">
        <v>477</v>
      </c>
      <c r="H13" s="3">
        <v>23039.3</v>
      </c>
    </row>
  </sheetData>
  <conditionalFormatting sqref="M1:N1 M2:M11">
    <cfRule type="iconSet" priority="1">
      <iconSet iconSet="3Arrows">
        <cfvo type="percent" val="0"/>
        <cfvo type="percent" val="33"/>
        <cfvo type="percent" val="67"/>
      </iconSet>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7:F21"/>
  <sheetViews>
    <sheetView showGridLines="0" showRowColHeaders="0" tabSelected="1" workbookViewId="0">
      <selection activeCell="E25" sqref="E25"/>
    </sheetView>
  </sheetViews>
  <sheetFormatPr defaultColWidth="8.88671875" defaultRowHeight="14.4"/>
  <cols>
    <col min="1" max="16384" width="8.88671875" style="1"/>
  </cols>
  <sheetData>
    <row r="7" spans="1:6" ht="14.4" customHeight="1">
      <c r="A7" s="95" t="s">
        <v>478</v>
      </c>
      <c r="B7" s="95"/>
      <c r="C7" s="95"/>
      <c r="D7" s="95"/>
      <c r="E7" s="95"/>
      <c r="F7" s="95"/>
    </row>
    <row r="8" spans="1:6" ht="14.4" customHeight="1">
      <c r="A8" s="97">
        <f>SUM('[1]Raw Data'!N2:N10000)</f>
        <v>229192.47000000032</v>
      </c>
      <c r="B8" s="97"/>
      <c r="C8" s="97"/>
      <c r="D8" s="97"/>
      <c r="E8" s="97"/>
      <c r="F8" s="97"/>
    </row>
    <row r="9" spans="1:6" ht="14.4" customHeight="1">
      <c r="A9" s="97"/>
      <c r="B9" s="97"/>
      <c r="C9" s="97"/>
      <c r="D9" s="97"/>
      <c r="E9" s="97"/>
      <c r="F9" s="97"/>
    </row>
    <row r="11" spans="1:6">
      <c r="A11" s="96" t="s">
        <v>479</v>
      </c>
      <c r="B11" s="96"/>
      <c r="C11" s="96"/>
      <c r="D11" s="96"/>
      <c r="E11" s="96"/>
      <c r="F11" s="96"/>
    </row>
    <row r="12" spans="1:6">
      <c r="A12" s="94">
        <f>COUNTA('[1]Raw Data'!A2:A10000)</f>
        <v>250</v>
      </c>
      <c r="B12" s="94"/>
      <c r="C12" s="94"/>
      <c r="D12" s="94"/>
      <c r="E12" s="94"/>
      <c r="F12" s="94"/>
    </row>
    <row r="13" spans="1:6">
      <c r="A13" s="94"/>
      <c r="B13" s="94"/>
      <c r="C13" s="94"/>
      <c r="D13" s="94"/>
      <c r="E13" s="94"/>
      <c r="F13" s="94"/>
    </row>
    <row r="15" spans="1:6" ht="14.4" customHeight="1">
      <c r="A15" s="95" t="s">
        <v>480</v>
      </c>
      <c r="B15" s="95"/>
      <c r="C15" s="95"/>
      <c r="D15" s="95"/>
      <c r="E15" s="95"/>
      <c r="F15" s="95"/>
    </row>
    <row r="16" spans="1:6" ht="14.4" customHeight="1">
      <c r="A16" s="97">
        <f>SUMPRODUCT(1/COUNTIF('[1]Raw Data'!C2:C251,'[1]Raw Data'!C2:C251))</f>
        <v>50.000000000000028</v>
      </c>
      <c r="B16" s="97"/>
      <c r="C16" s="97"/>
      <c r="D16" s="97"/>
      <c r="E16" s="97"/>
      <c r="F16" s="97"/>
    </row>
    <row r="17" spans="1:6" ht="14.4" customHeight="1">
      <c r="A17" s="97"/>
      <c r="B17" s="97"/>
      <c r="C17" s="97"/>
      <c r="D17" s="97"/>
      <c r="E17" s="97"/>
      <c r="F17" s="97"/>
    </row>
    <row r="19" spans="1:6" ht="14.4" customHeight="1">
      <c r="A19" s="96" t="s">
        <v>481</v>
      </c>
      <c r="B19" s="96"/>
      <c r="C19" s="96"/>
      <c r="D19" s="96"/>
      <c r="E19" s="96"/>
      <c r="F19" s="96"/>
    </row>
    <row r="20" spans="1:6" ht="14.4" customHeight="1">
      <c r="A20" s="94">
        <f>IFERROR(AVERAGE('[1]Raw Data'!N2:N10000),0)</f>
        <v>916.76988000000131</v>
      </c>
      <c r="B20" s="94"/>
      <c r="C20" s="94"/>
      <c r="D20" s="94"/>
      <c r="E20" s="94"/>
      <c r="F20" s="94"/>
    </row>
    <row r="21" spans="1:6" ht="14.4" customHeight="1">
      <c r="A21" s="94"/>
      <c r="B21" s="94"/>
      <c r="C21" s="94"/>
      <c r="D21" s="94"/>
      <c r="E21" s="94"/>
      <c r="F21" s="94"/>
    </row>
  </sheetData>
  <mergeCells count="8">
    <mergeCell ref="A20:F21"/>
    <mergeCell ref="A7:F7"/>
    <mergeCell ref="A11:F11"/>
    <mergeCell ref="A15:F15"/>
    <mergeCell ref="A19:F19"/>
    <mergeCell ref="A8:F9"/>
    <mergeCell ref="A12:F13"/>
    <mergeCell ref="A16:F17"/>
  </mergeCells>
  <conditionalFormatting sqref="A7:F9">
    <cfRule type="iconSet" priority="2">
      <iconSet iconSet="3Arrows">
        <cfvo type="percent" val="0"/>
        <cfvo type="percent" val="33"/>
        <cfvo type="percent" val="67"/>
      </iconSet>
    </cfRule>
  </conditionalFormatting>
  <pageMargins left="0.7" right="0.7" top="0.75" bottom="0.75" header="0.3" footer="0.3"/>
  <pageSetup orientation="portrait"/>
  <drawing r:id="rId1"/>
  <extLst>
    <ext xmlns:x14="http://schemas.microsoft.com/office/spreadsheetml/2009/9/main" uri="{78C0D931-6437-407d-A8EE-F0AAD7539E65}">
      <x14:conditionalFormattings>
        <x14:conditionalFormatting xmlns:xm="http://schemas.microsoft.com/office/excel/2006/main">
          <x14:cfRule type="iconSet" priority="1" id="{A29B2EEB-E282-4A16-A930-C2B746D4F58C}">
            <x14:iconSet iconSet="3Triangles">
              <x14:cfvo type="percent">
                <xm:f>0</xm:f>
              </x14:cfvo>
              <x14:cfvo type="percent">
                <xm:f>33</xm:f>
              </x14:cfvo>
              <x14:cfvo type="percent">
                <xm:f>67</xm:f>
              </x14:cfvo>
            </x14:iconSet>
          </x14:cfRule>
          <xm:sqref>A11:F13</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RawData</vt:lpstr>
      <vt:lpstr>BasicTask</vt:lpstr>
      <vt:lpstr>Scenario Summary</vt:lpstr>
      <vt:lpstr>goal Seek</vt:lpstr>
      <vt:lpstr>Linear Regression</vt:lpstr>
      <vt:lpstr>GroupBy </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2026-04-10T11:44:00Z</dcterms:created>
  <dcterms:modified xsi:type="dcterms:W3CDTF">2026-04-10T18:25:24Z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D0165DB99F384E0881EC980998B3AED8_13</vt:lpwstr>
  </property>
  <property fmtid="{D5CDD505-2E9C-101B-9397-08002B2CF9AE}" pid="3" name="KSOProductBuildVer">
    <vt:lpwstr>2057-12.2.0.23197</vt:lpwstr>
  </property>
</Properties>
</file>
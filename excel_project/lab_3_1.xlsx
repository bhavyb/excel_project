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<sst xmlns="http://schemas.openxmlformats.org/spreadsheetml/2006/main" count="36" uniqueCount="31">
  <si>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Values</t>
  </si>
  <si>
    <t>Scores</t>
  </si>
  <si>
    <t>Sales</t>
  </si>
  <si>
    <t>Monthly Sales Trend</t>
  </si>
  <si>
    <t>Product IDs</t>
  </si>
  <si>
    <t>P101</t>
  </si>
  <si>
    <t>P102</t>
  </si>
  <si>
    <t>P103</t>
  </si>
  <si>
    <t>P104</t>
  </si>
  <si>
    <t>P105</t>
  </si>
  <si>
    <t>P106</t>
  </si>
  <si>
    <t>P107</t>
  </si>
  <si>
    <t>P108</t>
  </si>
  <si>
    <t>Parameter</t>
  </si>
  <si>
    <t>Value</t>
  </si>
  <si>
    <t>Interest Rate</t>
  </si>
  <si>
    <t>Monthly Payment</t>
  </si>
  <si>
    <t>Cost per Unit</t>
  </si>
  <si>
    <t>Selling Price per Unit</t>
  </si>
  <si>
    <t>Units Sold</t>
  </si>
  <si>
    <t>Fixed Costs</t>
  </si>
  <si>
    <t>Loan Amount</t>
  </si>
  <si>
    <t>Loan Period (Years)</t>
  </si>
  <si>
    <t>Scenario Name</t>
  </si>
  <si>
    <t>Selling Price</t>
  </si>
  <si>
    <t>Best Case</t>
  </si>
  <si>
    <t>Expected Case</t>
  </si>
  <si>
    <t>Worst Case</t>
  </si>
  <si>
    <t>Variable</t>
  </si>
  <si>
    <t>Units Produced</t>
  </si>
  <si>
    <t>Profit Formula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</si>
</sst>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G5" sqref="G5"/>
    </sheetView>
  </sheetViews>
  <sheetFormatPr defaultColWidth="8.88888888888889" defaultRowHeight="14.4" outlineLevelCol="4"/>
  <cols>
    <col min="4" max="4" width="21.4444444444444" customWidth="1"/>
    <col min="5" max="5" width="13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</v>
      </c>
      <c r="B2" s="2">
        <v>10</v>
      </c>
      <c r="C2" s="2">
        <v>500</v>
      </c>
      <c r="D2" s="2">
        <v>1200</v>
      </c>
      <c r="E2" s="2" t="s">
        <v>5</v>
      </c>
    </row>
    <row r="3" spans="1:5">
      <c r="A3" s="2">
        <v>120</v>
      </c>
      <c r="B3" s="2">
        <v>25</v>
      </c>
      <c r="C3" s="2">
        <v>750</v>
      </c>
      <c r="D3" s="2">
        <v>1500</v>
      </c>
      <c r="E3" s="2" t="s">
        <v>6</v>
      </c>
    </row>
    <row r="4" spans="1:5">
      <c r="A4" s="2">
        <v>85</v>
      </c>
      <c r="B4" s="2">
        <v>40</v>
      </c>
      <c r="C4" s="2">
        <v>300</v>
      </c>
      <c r="D4" s="2">
        <v>1300</v>
      </c>
      <c r="E4" s="2" t="s">
        <v>7</v>
      </c>
    </row>
    <row r="5" spans="1:5">
      <c r="A5" s="2">
        <v>200</v>
      </c>
      <c r="B5" s="2">
        <v>60</v>
      </c>
      <c r="C5" s="2">
        <v>900</v>
      </c>
      <c r="D5" s="2">
        <v>1700</v>
      </c>
      <c r="E5" s="2" t="s">
        <v>8</v>
      </c>
    </row>
    <row r="6" spans="1:5">
      <c r="A6" s="2">
        <v>95</v>
      </c>
      <c r="B6" s="2">
        <v>80</v>
      </c>
      <c r="C6" s="2">
        <v>450</v>
      </c>
      <c r="D6" s="2">
        <v>1600</v>
      </c>
      <c r="E6" s="2" t="s">
        <v>9</v>
      </c>
    </row>
    <row r="7" spans="1:5">
      <c r="A7" s="2">
        <v>150</v>
      </c>
      <c r="B7" s="2">
        <v>55</v>
      </c>
      <c r="C7" s="2">
        <v>1000</v>
      </c>
      <c r="D7" s="2">
        <v>1800</v>
      </c>
      <c r="E7" s="2" t="s">
        <v>5</v>
      </c>
    </row>
    <row r="8" spans="1:5">
      <c r="A8" s="2">
        <v>30</v>
      </c>
      <c r="B8" s="2">
        <v>20</v>
      </c>
      <c r="C8" s="2">
        <v>200</v>
      </c>
      <c r="D8" s="2">
        <v>1100</v>
      </c>
      <c r="E8" s="2" t="s">
        <v>10</v>
      </c>
    </row>
    <row r="9" spans="1:5">
      <c r="A9" s="2">
        <v>175</v>
      </c>
      <c r="B9" s="2">
        <v>90</v>
      </c>
      <c r="C9" s="2">
        <v>850</v>
      </c>
      <c r="D9" s="2">
        <v>1750</v>
      </c>
      <c r="E9" s="2" t="s">
        <v>11</v>
      </c>
    </row>
    <row r="10" spans="1:5">
      <c r="A10" s="2">
        <v>60</v>
      </c>
      <c r="B10" s="2">
        <v>35</v>
      </c>
      <c r="C10" s="2">
        <v>600</v>
      </c>
      <c r="D10" s="2">
        <v>1400</v>
      </c>
      <c r="E10" s="2" t="s">
        <v>6</v>
      </c>
    </row>
    <row r="11" spans="1:5">
      <c r="A11" s="2">
        <v>110</v>
      </c>
      <c r="B11" s="2">
        <v>70</v>
      </c>
      <c r="C11" s="2">
        <v>720</v>
      </c>
      <c r="D11" s="2">
        <v>1650</v>
      </c>
      <c r="E11" s="2" t="s">
        <v>12</v>
      </c>
    </row>
  </sheetData>
  <conditionalFormatting sqref="A2:A11">
    <cfRule type="cellIs" dxfId="0" priority="5" operator="greaterThan">
      <formula>100</formula>
    </cfRule>
  </conditionalFormatting>
  <conditionalFormatting sqref="B2:B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{df869847-271d-46fa-95f5-36ad38e30472}</x14:id>
        </ext>
      </extLst>
    </cfRule>
  </conditionalFormatting>
  <conditionalFormatting sqref="D2:D1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E2:E11">
    <cfRule type="expression" dxfId="1" priority="1">
      <formula>COUNTIF($E$2:$E$11,E2)&gt;1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69847-271d-46fa-95f5-36ad38e30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15" zoomScaleNormal="115" workbookViewId="0">
      <selection activeCell="D14" sqref="D14"/>
    </sheetView>
  </sheetViews>
  <sheetFormatPr defaultColWidth="8.88888888888889" defaultRowHeight="14.4" outlineLevelCol="3"/>
  <cols>
    <col min="1" max="1" width="17.6666666666667" customWidth="1"/>
    <col min="2" max="2" width="16.6203703703704" customWidth="1"/>
    <col min="3" max="3" width="14" customWidth="1"/>
    <col min="4" max="4" width="24.5555555555556" customWidth="1"/>
  </cols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s="2" t="s">
        <v>17</v>
      </c>
      <c r="B2" s="2">
        <v>50</v>
      </c>
      <c r="C2" s="3">
        <v>0.05</v>
      </c>
      <c r="D2" s="2"/>
    </row>
    <row r="3" spans="1:4">
      <c r="A3" s="2" t="s">
        <v>18</v>
      </c>
      <c r="B3" s="2">
        <v>80</v>
      </c>
      <c r="C3" s="3">
        <v>0.06</v>
      </c>
      <c r="D3" s="2"/>
    </row>
    <row r="4" spans="1:4">
      <c r="A4" s="2" t="s">
        <v>19</v>
      </c>
      <c r="B4" s="2">
        <v>1000</v>
      </c>
      <c r="C4" s="3">
        <v>0.07</v>
      </c>
      <c r="D4" s="2"/>
    </row>
    <row r="5" spans="1:4">
      <c r="A5" s="2" t="s">
        <v>20</v>
      </c>
      <c r="B5" s="2">
        <v>20000</v>
      </c>
      <c r="C5" s="3">
        <v>0.08</v>
      </c>
      <c r="D5" s="2"/>
    </row>
    <row r="6" spans="1:4">
      <c r="A6" s="2" t="s">
        <v>15</v>
      </c>
      <c r="B6" s="3">
        <v>0.08</v>
      </c>
      <c r="C6" s="3">
        <v>0.09</v>
      </c>
      <c r="D6" s="2"/>
    </row>
    <row r="7" spans="1:4">
      <c r="A7" s="2" t="s">
        <v>21</v>
      </c>
      <c r="B7" s="2">
        <v>500000</v>
      </c>
      <c r="C7" s="3">
        <v>0.1</v>
      </c>
      <c r="D7" s="2"/>
    </row>
    <row r="8" spans="1:2">
      <c r="A8" s="2" t="s">
        <v>22</v>
      </c>
      <c r="B8" s="2">
        <v>5</v>
      </c>
    </row>
    <row r="13" spans="1:3">
      <c r="A13" s="1" t="s">
        <v>23</v>
      </c>
      <c r="B13" s="1" t="s">
        <v>19</v>
      </c>
      <c r="C13" s="1" t="s">
        <v>24</v>
      </c>
    </row>
    <row r="14" spans="1:3">
      <c r="A14" s="2" t="s">
        <v>25</v>
      </c>
      <c r="B14" s="2">
        <v>1500</v>
      </c>
      <c r="C14" s="2">
        <v>90</v>
      </c>
    </row>
    <row r="15" spans="1:3">
      <c r="A15" s="2" t="s">
        <v>26</v>
      </c>
      <c r="B15" s="2">
        <v>1000</v>
      </c>
      <c r="C15" s="2">
        <v>80</v>
      </c>
    </row>
    <row r="16" spans="1:3">
      <c r="A16" s="2" t="s">
        <v>27</v>
      </c>
      <c r="B16" s="2">
        <v>700</v>
      </c>
      <c r="C16" s="2">
        <v>70</v>
      </c>
    </row>
    <row r="19" spans="1:2">
      <c r="A19" s="1" t="s">
        <v>28</v>
      </c>
      <c r="B19" s="1" t="s">
        <v>14</v>
      </c>
    </row>
    <row r="20" spans="1:2">
      <c r="A20" s="2" t="s">
        <v>29</v>
      </c>
      <c r="B20" s="2">
        <v>1000</v>
      </c>
    </row>
    <row r="21" spans="1:2">
      <c r="A21" s="2" t="s">
        <v>30</v>
      </c>
      <c r="B21" s="2" t="e" cm="1">
        <f t="array" ref="B21">(Selling _xleta.Price-Cost per Unit)*Units Sold-_xleta.Fixed Costs</f>
        <v>#NAME?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2026-03-19T10:58:29Z</dcterms:created>
  <dcterms:modified xsi:type="dcterms:W3CDTF">2026-03-19T11:19:13Z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28133D9689A54BEC90271BC3FF060808_11</vt:lpwstr>
  </property>
  <property fmtid="{D5CDD505-2E9C-101B-9397-08002B2CF9AE}" pid="3" name="KSOProductBuildVer">
    <vt:lpwstr>2057-12.2.0.23197</vt:lpwstr>
  </property>
</Properties>
</file>
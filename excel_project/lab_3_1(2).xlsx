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Red_&amp;_White\Excel\"/>
    </mc:Choice>
  </mc:AlternateContent>
  <bookViews>
    <workbookView xWindow="0" yWindow="0" windowWidth="23040" windowHeight="8988" activeTab="1"/>
  </bookViews>
  <sheets>
    <sheet name="Sheet1" sheetId="1" r:id="rId1"/>
    <sheet name="Sheet2" sheetId="2" r:id="rId2"/>
    <sheet name="Scenario Summary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D14" i="2"/>
  <c r="D2" i="2"/>
  <c r="D15" i="2"/>
  <c r="D16" i="2"/>
</calcChain>
</file>

<file path=xl/sharedStrings.xml><?xml version="1.0" encoding="utf-8"?>
<sst xmlns="http://schemas.openxmlformats.org/spreadsheetml/2006/main" count="50" uniqueCount="45">
  <si>
    <t>Values</t>
  </si>
  <si>
    <t>Scores</t>
  </si>
  <si>
    <t>Sales</t>
  </si>
  <si>
    <t>Monthly Sales Trend</t>
  </si>
  <si>
    <t>Product IDs</t>
  </si>
  <si>
    <t>P101</t>
  </si>
  <si>
    <t>P102</t>
  </si>
  <si>
    <t>P103</t>
  </si>
  <si>
    <t>P104</t>
  </si>
  <si>
    <t>P105</t>
  </si>
  <si>
    <t>P106</t>
  </si>
  <si>
    <t>P107</t>
  </si>
  <si>
    <t>P108</t>
  </si>
  <si>
    <t>Parameter</t>
  </si>
  <si>
    <t>Value</t>
  </si>
  <si>
    <t>Interest Rate</t>
  </si>
  <si>
    <t>Monthly Payment</t>
  </si>
  <si>
    <t>Cost per Unit</t>
  </si>
  <si>
    <t>Selling Price per Unit</t>
  </si>
  <si>
    <t>Units Sold</t>
  </si>
  <si>
    <t>Fixed Costs</t>
  </si>
  <si>
    <t>Loan Amount</t>
  </si>
  <si>
    <t>Loan Period (Years)</t>
  </si>
  <si>
    <t>Scenario Name</t>
  </si>
  <si>
    <t>Selling Price</t>
  </si>
  <si>
    <t>Best Case</t>
  </si>
  <si>
    <t>Expected Case</t>
  </si>
  <si>
    <t>Worst Case</t>
  </si>
  <si>
    <t>Variable</t>
  </si>
  <si>
    <t>Units Produced</t>
  </si>
  <si>
    <t>Profit Formula</t>
  </si>
  <si>
    <t>$D$14</t>
  </si>
  <si>
    <t>$D$15</t>
  </si>
  <si>
    <t>$D$16</t>
  </si>
  <si>
    <t>$E$14</t>
  </si>
  <si>
    <t>low sales</t>
  </si>
  <si>
    <t>Created by DELL on 19/03/2026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</si>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</sst>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£&quot;#,##0.00;[Red]\-&quot;£&quot;#,##0.00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4" xfId="0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0" fontId="0" fillId="4" borderId="0" xfId="0" applyFill="1" applyBorder="1" applyAlignment="1">
      <alignment vertical="center"/>
    </xf>
    <xf numFmtId="0" fontId="6" fillId="0" borderId="0" xfId="0" applyFont="1" applyFill="1" applyBorder="1" applyAlignment="1">
      <alignment vertical="top" wrapText="1"/>
    </xf>
    <xf numFmtId="0" fontId="1" fillId="0" borderId="0" xfId="0" applyFont="1">
      <alignment vertical="center"/>
    </xf>
    <xf numFmtId="8" fontId="0" fillId="0" borderId="0" xfId="0" applyNumberFormat="1" applyAlignment="1">
      <alignment vertical="center" wrapText="1"/>
    </xf>
    <xf numFmtId="9" fontId="0" fillId="0" borderId="0" xfId="0" applyNumberFormat="1">
      <alignment vertical="center"/>
    </xf>
  </cellXfs>
  <cellStyles count="1">
    <cellStyle name="Normal" xfId="0" builtinId="0"/>
  </cellStyles>
  <dxfs count="19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G5" sqref="G5"/>
    </sheetView>
  </sheetViews>
  <sheetFormatPr defaultColWidth="8.88671875" defaultRowHeight="14.4"/>
  <cols>
    <col min="4" max="4" width="21.44140625" customWidth="1"/>
    <col min="5" max="5" width="13.21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</v>
      </c>
      <c r="B2" s="2">
        <v>10</v>
      </c>
      <c r="C2" s="2">
        <v>500</v>
      </c>
      <c r="D2" s="2">
        <v>1200</v>
      </c>
      <c r="E2" s="2" t="s">
        <v>5</v>
      </c>
    </row>
    <row r="3" spans="1:5">
      <c r="A3" s="2">
        <v>120</v>
      </c>
      <c r="B3" s="2">
        <v>25</v>
      </c>
      <c r="C3" s="2">
        <v>750</v>
      </c>
      <c r="D3" s="2">
        <v>1500</v>
      </c>
      <c r="E3" s="2" t="s">
        <v>6</v>
      </c>
    </row>
    <row r="4" spans="1:5">
      <c r="A4" s="2">
        <v>85</v>
      </c>
      <c r="B4" s="2">
        <v>40</v>
      </c>
      <c r="C4" s="2">
        <v>300</v>
      </c>
      <c r="D4" s="2">
        <v>1300</v>
      </c>
      <c r="E4" s="2" t="s">
        <v>7</v>
      </c>
    </row>
    <row r="5" spans="1:5">
      <c r="A5" s="2">
        <v>200</v>
      </c>
      <c r="B5" s="2">
        <v>60</v>
      </c>
      <c r="C5" s="2">
        <v>900</v>
      </c>
      <c r="D5" s="2">
        <v>1700</v>
      </c>
      <c r="E5" s="2" t="s">
        <v>8</v>
      </c>
    </row>
    <row r="6" spans="1:5">
      <c r="A6" s="2">
        <v>95</v>
      </c>
      <c r="B6" s="2">
        <v>80</v>
      </c>
      <c r="C6" s="2">
        <v>450</v>
      </c>
      <c r="D6" s="2">
        <v>1600</v>
      </c>
      <c r="E6" s="2" t="s">
        <v>9</v>
      </c>
    </row>
    <row r="7" spans="1:5">
      <c r="A7" s="2">
        <v>150</v>
      </c>
      <c r="B7" s="2">
        <v>55</v>
      </c>
      <c r="C7" s="2">
        <v>1000</v>
      </c>
      <c r="D7" s="2">
        <v>1800</v>
      </c>
      <c r="E7" s="2" t="s">
        <v>5</v>
      </c>
    </row>
    <row r="8" spans="1:5">
      <c r="A8" s="2">
        <v>30</v>
      </c>
      <c r="B8" s="2">
        <v>20</v>
      </c>
      <c r="C8" s="2">
        <v>200</v>
      </c>
      <c r="D8" s="2">
        <v>1100</v>
      </c>
      <c r="E8" s="2" t="s">
        <v>10</v>
      </c>
    </row>
    <row r="9" spans="1:5">
      <c r="A9" s="2">
        <v>175</v>
      </c>
      <c r="B9" s="2">
        <v>90</v>
      </c>
      <c r="C9" s="2">
        <v>850</v>
      </c>
      <c r="D9" s="2">
        <v>1750</v>
      </c>
      <c r="E9" s="2" t="s">
        <v>11</v>
      </c>
    </row>
    <row r="10" spans="1:5">
      <c r="A10" s="2">
        <v>60</v>
      </c>
      <c r="B10" s="2">
        <v>35</v>
      </c>
      <c r="C10" s="2">
        <v>600</v>
      </c>
      <c r="D10" s="2">
        <v>1400</v>
      </c>
      <c r="E10" s="2" t="s">
        <v>6</v>
      </c>
    </row>
    <row r="11" spans="1:5">
      <c r="A11" s="2">
        <v>110</v>
      </c>
      <c r="B11" s="2">
        <v>70</v>
      </c>
      <c r="C11" s="2">
        <v>720</v>
      </c>
      <c r="D11" s="2">
        <v>1650</v>
      </c>
      <c r="E11" s="2" t="s">
        <v>12</v>
      </c>
    </row>
  </sheetData>
  <conditionalFormatting sqref="A2:A11">
    <cfRule type="cellIs" dxfId="1" priority="5" operator="greaterThan">
      <formula>100</formula>
    </cfRule>
  </conditionalFormatting>
  <conditionalFormatting sqref="B2:B1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1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{DF869847-271D-46FA-95F5-36AD38E30472}</x14:id>
        </ext>
      </extLst>
    </cfRule>
  </conditionalFormatting>
  <conditionalFormatting sqref="D2:D1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E2:E11">
    <cfRule type="expression" dxfId="0" priority="1">
      <formula>COUNTIF($E$2:$E$11,E2)&gt;1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869847-271D-46FA-95F5-36AD38E30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zoomScale="115" zoomScaleNormal="115" workbookViewId="0">
      <selection activeCell="I6" sqref="I6"/>
    </sheetView>
  </sheetViews>
  <sheetFormatPr defaultColWidth="8.88671875" defaultRowHeight="14.4"/>
  <cols>
    <col min="1" max="1" width="18.44140625" customWidth="1"/>
    <col min="2" max="2" width="16.6640625" customWidth="1"/>
    <col min="3" max="3" width="14" customWidth="1"/>
    <col min="4" max="4" width="16.5546875" customWidth="1"/>
  </cols>
  <sheetData>
    <row r="1" spans="1:11">
      <c r="A1" s="1" t="s">
        <v>13</v>
      </c>
      <c r="B1" s="1" t="s">
        <v>14</v>
      </c>
      <c r="C1" s="1" t="s">
        <v>15</v>
      </c>
      <c r="D1" s="1" t="s">
        <v>16</v>
      </c>
    </row>
    <row r="2" spans="1:11">
      <c r="A2" s="2" t="s">
        <v>17</v>
      </c>
      <c r="B2" s="2">
        <v>50</v>
      </c>
      <c r="C2" s="3">
        <v>0.05</v>
      </c>
      <c r="D2" s="17">
        <f>PMT(B6/12, B8*12, -B7)</f>
        <v>10138.197144206841</v>
      </c>
    </row>
    <row r="3" spans="1:11">
      <c r="A3" s="2" t="s">
        <v>18</v>
      </c>
      <c r="B3" s="2">
        <v>80</v>
      </c>
      <c r="C3" s="3">
        <v>0.06</v>
      </c>
      <c r="D3" s="2"/>
    </row>
    <row r="4" spans="1:11">
      <c r="A4" s="2" t="s">
        <v>19</v>
      </c>
      <c r="B4" s="2">
        <v>1000</v>
      </c>
      <c r="C4" s="3">
        <v>7.0000000000000007E-2</v>
      </c>
      <c r="D4" s="2"/>
      <c r="I4">
        <v>10000</v>
      </c>
    </row>
    <row r="5" spans="1:11">
      <c r="A5" s="2" t="s">
        <v>20</v>
      </c>
      <c r="B5" s="2">
        <v>20000</v>
      </c>
      <c r="C5" s="3">
        <v>0.08</v>
      </c>
      <c r="D5" s="2"/>
      <c r="I5" s="18">
        <v>0.05</v>
      </c>
      <c r="J5" s="18">
        <v>0.1</v>
      </c>
      <c r="K5" s="18">
        <v>0.2</v>
      </c>
    </row>
    <row r="6" spans="1:11">
      <c r="A6" s="2" t="s">
        <v>15</v>
      </c>
      <c r="B6" s="3">
        <v>0.08</v>
      </c>
      <c r="C6" s="3">
        <v>0.09</v>
      </c>
      <c r="D6" s="2"/>
      <c r="I6">
        <v>5</v>
      </c>
      <c r="J6">
        <f t="dataTable" ref="J6:K7" dt2D="0" dtr="0" r1="I5"/>
        <v>0.1</v>
      </c>
      <c r="K6">
        <v>0.2</v>
      </c>
    </row>
    <row r="7" spans="1:11">
      <c r="A7" s="2" t="s">
        <v>21</v>
      </c>
      <c r="B7" s="2">
        <v>500000</v>
      </c>
      <c r="C7" s="3">
        <v>0.1</v>
      </c>
      <c r="D7" s="2"/>
      <c r="I7">
        <f>I4*I5*I6</f>
        <v>2500</v>
      </c>
      <c r="J7">
        <v>0.1</v>
      </c>
      <c r="K7">
        <v>0.2</v>
      </c>
    </row>
    <row r="8" spans="1:11">
      <c r="A8" s="2" t="s">
        <v>22</v>
      </c>
      <c r="B8" s="2">
        <v>5</v>
      </c>
    </row>
    <row r="13" spans="1:11">
      <c r="A13" s="1" t="s">
        <v>23</v>
      </c>
      <c r="B13" s="1" t="s">
        <v>19</v>
      </c>
      <c r="C13" s="1" t="s">
        <v>24</v>
      </c>
      <c r="D13" s="16" t="s">
        <v>44</v>
      </c>
    </row>
    <row r="14" spans="1:11">
      <c r="A14" s="2" t="s">
        <v>25</v>
      </c>
      <c r="B14" s="2">
        <v>1500</v>
      </c>
      <c r="C14" s="2">
        <v>33.333333333333336</v>
      </c>
      <c r="D14">
        <f>C14*B14</f>
        <v>50000</v>
      </c>
    </row>
    <row r="15" spans="1:11">
      <c r="A15" s="2" t="s">
        <v>26</v>
      </c>
      <c r="B15" s="2">
        <v>1000</v>
      </c>
      <c r="C15" s="2">
        <v>80</v>
      </c>
      <c r="D15">
        <f t="shared" ref="D15:D16" si="0">C15*B15</f>
        <v>80000</v>
      </c>
    </row>
    <row r="16" spans="1:11">
      <c r="A16" s="2" t="s">
        <v>27</v>
      </c>
      <c r="B16" s="2">
        <v>700</v>
      </c>
      <c r="C16" s="2">
        <v>70</v>
      </c>
      <c r="D16">
        <f t="shared" si="0"/>
        <v>49000</v>
      </c>
    </row>
    <row r="19" spans="1:2">
      <c r="A19" s="1" t="s">
        <v>28</v>
      </c>
      <c r="B19" s="1" t="s">
        <v>14</v>
      </c>
    </row>
    <row r="20" spans="1:2">
      <c r="A20" s="2" t="s">
        <v>29</v>
      </c>
      <c r="B20" s="2">
        <v>1000</v>
      </c>
    </row>
    <row r="21" spans="1:2">
      <c r="A21" s="2" t="s">
        <v>30</v>
      </c>
      <c r="B21" s="2"/>
    </row>
  </sheetData>
  <scenarios current="0" show="0" sqref="E14">
    <scenario name="low sales" locked="1" count="3" user="DELL" comment="Created by DELL on 19/03/2026">
      <inputCells r="D14" val="135000"/>
      <inputCells r="D15" val="80000"/>
      <inputCells r="D16" val="49000"/>
    </scenario>
  </scenario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E13"/>
  <sheetViews>
    <sheetView showGridLines="0" workbookViewId="0">
      <selection activeCell="B9" sqref="B9"/>
    </sheetView>
  </sheetViews>
  <sheetFormatPr defaultRowHeight="14.4" outlineLevelRow="1" outlineLevelCol="1"/>
  <cols>
    <col min="3" max="3" width="6.21875" customWidth="1"/>
    <col min="4" max="5" width="13.109375" bestFit="1" customWidth="1" outlineLevel="1"/>
  </cols>
  <sheetData>
    <row r="1" spans="2:5" ht="15" thickBot="1"/>
    <row r="2" spans="2:5" ht="15.6">
      <c r="B2" s="7" t="s">
        <v>37</v>
      </c>
      <c r="C2" s="7"/>
      <c r="D2" s="12"/>
      <c r="E2" s="12"/>
    </row>
    <row r="3" spans="2:5" ht="15.6">
      <c r="B3" s="6"/>
      <c r="C3" s="6"/>
      <c r="D3" s="13" t="s">
        <v>39</v>
      </c>
      <c r="E3" s="13" t="s">
        <v>35</v>
      </c>
    </row>
    <row r="4" spans="2:5" ht="20.399999999999999" outlineLevel="1">
      <c r="B4" s="9"/>
      <c r="C4" s="9"/>
      <c r="D4" s="4"/>
      <c r="E4" s="15" t="s">
        <v>36</v>
      </c>
    </row>
    <row r="5" spans="2:5">
      <c r="B5" s="10" t="s">
        <v>38</v>
      </c>
      <c r="C5" s="10"/>
      <c r="D5" s="8"/>
      <c r="E5" s="8"/>
    </row>
    <row r="6" spans="2:5" outlineLevel="1">
      <c r="B6" s="9"/>
      <c r="C6" s="9" t="s">
        <v>31</v>
      </c>
      <c r="D6" s="4">
        <v>135000</v>
      </c>
      <c r="E6" s="14">
        <v>135000</v>
      </c>
    </row>
    <row r="7" spans="2:5" outlineLevel="1">
      <c r="B7" s="9"/>
      <c r="C7" s="9" t="s">
        <v>32</v>
      </c>
      <c r="D7" s="4">
        <v>80000</v>
      </c>
      <c r="E7" s="14">
        <v>80000</v>
      </c>
    </row>
    <row r="8" spans="2:5" outlineLevel="1">
      <c r="B8" s="9"/>
      <c r="C8" s="9" t="s">
        <v>33</v>
      </c>
      <c r="D8" s="4">
        <v>49000</v>
      </c>
      <c r="E8" s="14">
        <v>49000</v>
      </c>
    </row>
    <row r="9" spans="2:5">
      <c r="B9" s="10" t="s">
        <v>40</v>
      </c>
      <c r="C9" s="10"/>
      <c r="D9" s="8"/>
      <c r="E9" s="8"/>
    </row>
    <row r="10" spans="2:5" ht="15" outlineLevel="1" thickBot="1">
      <c r="B10" s="11"/>
      <c r="C10" s="11" t="s">
        <v>34</v>
      </c>
      <c r="D10" s="5"/>
      <c r="E10" s="5"/>
    </row>
    <row r="11" spans="2:5">
      <c r="B11" t="s">
        <v>41</v>
      </c>
    </row>
    <row r="12" spans="2:5">
      <c r="B12" t="s">
        <v>42</v>
      </c>
    </row>
    <row r="13" spans="2:5">
      <c r="B13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Scenario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2026-03-19T10:58:29Z</dcterms:created>
  <dcterms:modified xsi:type="dcterms:W3CDTF">2026-03-19T12:21:06Z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28133D9689A54BEC90271BC3FF060808_11</vt:lpwstr>
  </property>
  <property fmtid="{D5CDD505-2E9C-101B-9397-08002B2CF9AE}" pid="3" name="KSOProductBuildVer">
    <vt:lpwstr>2057-12.2.0.23197</vt:lpwstr>
  </property>
</Properties>
</file>
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D:\Red_&amp;_White\Excel\PR_2\"/>
    </mc:Choice>
  </mc:AlternateContent>
  <bookViews>
    <workbookView xWindow="0" yWindow="0" windowWidth="23040" windowHeight="9156" activeTab="2"/>
  </bookViews>
  <sheets>
    <sheet name="Sheet1" sheetId="1" r:id="rId1"/>
    <sheet name="Sheet2" sheetId="2" r:id="rId2"/>
    <sheet name="Dashboard" sheetId="3" r:id="rId3"/>
  </sheets>
  <definedNames>
    <definedName name="Slicer_month">#N/A</definedName>
  </definedNames>
  <calcPr calcId="162913"/>
  <pivotCaches>
    <pivotCache cacheId="0" r:id="rId4"/>
    <pivotCache cacheId="1" r:id="rId5"/>
    <pivotCache cacheId="3"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V7" i="1" l="1"/>
  <c r="V6" i="1"/>
  <c r="V5" i="1"/>
  <c r="V4" i="1"/>
  <c r="V3" i="1"/>
  <c r="S10" i="1"/>
  <c r="S11" i="1"/>
  <c r="S12" i="1"/>
  <c r="S13" i="1"/>
  <c r="S14" i="1"/>
  <c r="S15" i="1"/>
  <c r="S16" i="1"/>
  <c r="S9" i="1"/>
  <c r="S8" i="1"/>
  <c r="S7" i="1"/>
  <c r="S6" i="1"/>
  <c r="S5" i="1"/>
  <c r="S4" i="1"/>
  <c r="T21" i="1"/>
  <c r="U22" i="1"/>
  <c r="U21" i="1"/>
  <c r="T24" i="1"/>
  <c r="T23" i="1"/>
  <c r="T22" i="1"/>
  <c r="X22" i="1"/>
  <c r="X21" i="1"/>
  <c r="U24" i="1"/>
  <c r="U23" i="1"/>
  <c r="X24" i="1"/>
  <c r="V23" i="1"/>
  <c r="V22" i="1"/>
  <c r="V21" i="1"/>
  <c r="S21" i="1"/>
  <c r="R21" i="1"/>
  <c r="W21" i="1" l="1"/>
  <c r="V24" i="1"/>
  <c r="X23" i="1"/>
  <c r="Y21" i="1" s="1"/>
  <c r="S29" i="1" l="1"/>
  <c r="S30" i="1" s="1"/>
  <c r="N5" i="1" l="1"/>
  <c r="N202"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4" i="1"/>
  <c r="N3" i="1"/>
  <c r="J201" i="1" l="1"/>
  <c r="J200" i="1"/>
  <c r="J199" i="1"/>
  <c r="J198" i="1"/>
  <c r="J197" i="1"/>
  <c r="J196" i="1"/>
  <c r="J195" i="1"/>
  <c r="J194" i="1"/>
  <c r="J193" i="1"/>
  <c r="J192" i="1"/>
  <c r="J191" i="1"/>
  <c r="J190" i="1"/>
  <c r="J189" i="1"/>
  <c r="J188" i="1"/>
  <c r="J187" i="1"/>
  <c r="J186" i="1"/>
  <c r="J185" i="1"/>
  <c r="J184" i="1"/>
  <c r="J183" i="1"/>
  <c r="J182" i="1"/>
  <c r="J181" i="1"/>
  <c r="J180" i="1"/>
  <c r="J179" i="1"/>
  <c r="J178" i="1"/>
  <c r="J177" i="1"/>
  <c r="J176" i="1"/>
  <c r="J175" i="1"/>
  <c r="J174" i="1"/>
  <c r="J173" i="1"/>
  <c r="J172" i="1"/>
  <c r="J171" i="1"/>
  <c r="J170" i="1"/>
  <c r="J169" i="1"/>
  <c r="J168" i="1"/>
  <c r="J167" i="1"/>
  <c r="J166" i="1"/>
  <c r="J165" i="1"/>
  <c r="J164" i="1"/>
  <c r="J163" i="1"/>
  <c r="J162" i="1"/>
  <c r="J161" i="1"/>
  <c r="J160" i="1"/>
  <c r="J159" i="1"/>
  <c r="J158" i="1"/>
  <c r="J157" i="1"/>
  <c r="J156" i="1"/>
  <c r="J155" i="1"/>
  <c r="J154" i="1"/>
  <c r="J153" i="1"/>
  <c r="J152" i="1"/>
  <c r="J151" i="1"/>
  <c r="J150" i="1"/>
  <c r="J149" i="1"/>
  <c r="J148" i="1"/>
  <c r="J147" i="1"/>
  <c r="J146" i="1"/>
  <c r="J145" i="1"/>
  <c r="J144" i="1"/>
  <c r="J143" i="1"/>
  <c r="J142" i="1"/>
  <c r="J141" i="1"/>
  <c r="J140" i="1"/>
  <c r="J139" i="1"/>
  <c r="J138" i="1"/>
  <c r="J137" i="1"/>
  <c r="J136" i="1"/>
  <c r="J135" i="1"/>
  <c r="J134" i="1"/>
  <c r="J133" i="1"/>
  <c r="J132" i="1"/>
  <c r="J131" i="1"/>
  <c r="J130" i="1"/>
  <c r="J129" i="1"/>
  <c r="J128" i="1"/>
  <c r="J127" i="1"/>
  <c r="J126" i="1"/>
  <c r="J125" i="1"/>
  <c r="J124" i="1"/>
  <c r="J123" i="1"/>
  <c r="J122" i="1"/>
  <c r="J121" i="1"/>
  <c r="J120" i="1"/>
  <c r="J119" i="1"/>
  <c r="J118" i="1"/>
  <c r="J117" i="1"/>
  <c r="J116" i="1"/>
  <c r="J115" i="1"/>
  <c r="J114" i="1"/>
  <c r="J113" i="1"/>
  <c r="J112" i="1"/>
  <c r="J111" i="1"/>
  <c r="J110" i="1"/>
  <c r="J109" i="1"/>
  <c r="J108" i="1"/>
  <c r="J107" i="1"/>
  <c r="J106" i="1"/>
  <c r="J105" i="1"/>
  <c r="J104" i="1"/>
  <c r="J103" i="1"/>
  <c r="J102" i="1"/>
  <c r="J101" i="1"/>
  <c r="J100" i="1"/>
  <c r="J99" i="1"/>
  <c r="J98" i="1"/>
  <c r="J97" i="1"/>
  <c r="J96" i="1"/>
  <c r="J95" i="1"/>
  <c r="J94" i="1"/>
  <c r="J93" i="1"/>
  <c r="J92" i="1"/>
  <c r="J91" i="1"/>
  <c r="J90" i="1"/>
  <c r="J89" i="1"/>
  <c r="J88" i="1"/>
  <c r="J87" i="1"/>
  <c r="J86" i="1"/>
  <c r="J85" i="1"/>
  <c r="J84" i="1"/>
  <c r="J83" i="1"/>
  <c r="J82" i="1"/>
  <c r="J81" i="1"/>
  <c r="J80" i="1"/>
  <c r="J79" i="1"/>
  <c r="J78" i="1"/>
  <c r="J77" i="1"/>
  <c r="J76" i="1"/>
  <c r="J75" i="1"/>
  <c r="J74" i="1"/>
  <c r="J73" i="1"/>
  <c r="J72" i="1"/>
  <c r="J71" i="1"/>
  <c r="J70" i="1"/>
  <c r="J69" i="1"/>
  <c r="J68" i="1"/>
  <c r="J67" i="1"/>
  <c r="J66" i="1"/>
  <c r="J65" i="1"/>
  <c r="J64" i="1"/>
  <c r="J63" i="1"/>
  <c r="J62" i="1"/>
  <c r="J61" i="1"/>
  <c r="J60" i="1"/>
  <c r="J59" i="1"/>
  <c r="J58" i="1"/>
  <c r="J57" i="1"/>
  <c r="J56" i="1"/>
  <c r="J55" i="1"/>
  <c r="J54" i="1"/>
  <c r="J53" i="1"/>
  <c r="J52" i="1"/>
  <c r="J51" i="1"/>
  <c r="J50" i="1"/>
  <c r="J49" i="1"/>
  <c r="J48" i="1"/>
  <c r="J47" i="1"/>
  <c r="J46" i="1"/>
  <c r="J45" i="1"/>
  <c r="J44" i="1"/>
  <c r="J43" i="1"/>
  <c r="J42" i="1"/>
  <c r="J41" i="1"/>
  <c r="J40" i="1"/>
  <c r="J39" i="1"/>
  <c r="J38" i="1"/>
  <c r="J37" i="1"/>
  <c r="J36" i="1"/>
  <c r="J35" i="1"/>
  <c r="J34" i="1"/>
  <c r="J33" i="1"/>
  <c r="J32" i="1"/>
  <c r="J31" i="1"/>
  <c r="J30" i="1"/>
  <c r="J29" i="1"/>
  <c r="J28" i="1"/>
  <c r="J27" i="1"/>
  <c r="J26" i="1"/>
  <c r="J25" i="1"/>
  <c r="J24" i="1"/>
  <c r="J23" i="1"/>
  <c r="J22" i="1"/>
  <c r="J21" i="1"/>
  <c r="J20" i="1"/>
  <c r="J19" i="1"/>
  <c r="J18" i="1"/>
  <c r="J17" i="1"/>
  <c r="J16" i="1"/>
  <c r="J15" i="1"/>
  <c r="J14" i="1"/>
  <c r="J13" i="1"/>
  <c r="J12" i="1"/>
  <c r="J11" i="1"/>
  <c r="J10" i="1"/>
  <c r="J9" i="1"/>
  <c r="J8" i="1"/>
  <c r="J7" i="1"/>
  <c r="J6" i="1"/>
  <c r="J5" i="1"/>
  <c r="J4" i="1"/>
  <c r="J3" i="1"/>
  <c r="AE2" i="1"/>
  <c r="AA2" i="1"/>
  <c r="J2" i="1"/>
</calcChain>
</file>

<file path=xl/sharedStrings.xml><?xml version="1.0" encoding="utf-8"?>
<sst xmlns="http://schemas.openxmlformats.org/spreadsheetml/2006/main" count="974" uniqueCount="131">
  <si>
    <t>Customer_ID</t>
  </si>
  <si>
    <t>Customer_Name</t>
  </si>
  <si>
    <t>Region</t>
  </si>
  <si>
    <t>Product_Category</t>
  </si>
  <si>
    <t>Sales</t>
  </si>
  <si>
    <t>Quantity</t>
  </si>
  <si>
    <t>Discount</t>
  </si>
  <si>
    <t>Order_Date</t>
  </si>
  <si>
    <t>Profit</t>
  </si>
  <si>
    <t>month</t>
  </si>
  <si>
    <t>1. Apply conditional formatting to highlighttop 10 customers based on total purchase.</t>
  </si>
  <si>
    <t>2. Perform WHAT IF Analysis to see impact of 
changing discount on total profit.</t>
  </si>
  <si>
    <t>3. Use Data Analysis Toolpak to run 
Linear Regression (Profit vs Sales).</t>
  </si>
  <si>
    <t xml:space="preserve">4. Use 'Descriptive Statistics' from Analysis 
Toolpak on the dataset.
</t>
  </si>
  <si>
    <t>5. Add up/down arrows on 
monthly sales growth.</t>
  </si>
  <si>
    <t>6. Create a timestamp 
column using NOW().</t>
  </si>
  <si>
    <t xml:space="preserve">7. Identify high-value customers 
using index(), match(), and filters.
</t>
  </si>
  <si>
    <t>8. Create Pivot Table to analyze total sales by region and product.</t>
  </si>
  <si>
    <t>9. Create bar, line, and pie charts to visualize KPIs.</t>
  </si>
  <si>
    <t>CUST019</t>
  </si>
  <si>
    <t>James Davis</t>
  </si>
  <si>
    <t>West</t>
  </si>
  <si>
    <t>Books</t>
  </si>
  <si>
    <t>Customers</t>
  </si>
  <si>
    <t>Sum of Sales</t>
  </si>
  <si>
    <t>Row Labels</t>
  </si>
  <si>
    <t>Customer name</t>
  </si>
  <si>
    <t>Column Labels</t>
  </si>
  <si>
    <t>CUST012</t>
  </si>
  <si>
    <t>Robert Anderson</t>
  </si>
  <si>
    <t>Clothing</t>
  </si>
  <si>
    <t>David Anderson</t>
  </si>
  <si>
    <t>January</t>
  </si>
  <si>
    <t>Electronics</t>
  </si>
  <si>
    <t>Furniture</t>
  </si>
  <si>
    <t>Office Supplies</t>
  </si>
  <si>
    <t>Grand Total</t>
  </si>
  <si>
    <t>CUST017</t>
  </si>
  <si>
    <t>James Taylor</t>
  </si>
  <si>
    <t>East</t>
  </si>
  <si>
    <t>David Brown</t>
  </si>
  <si>
    <t>February</t>
  </si>
  <si>
    <t>Central</t>
  </si>
  <si>
    <t>CUST005</t>
  </si>
  <si>
    <t>South</t>
  </si>
  <si>
    <t>David Davis</t>
  </si>
  <si>
    <t>March</t>
  </si>
  <si>
    <t>James Wilson</t>
  </si>
  <si>
    <t>CUST030</t>
  </si>
  <si>
    <t>North</t>
  </si>
  <si>
    <t>David Smith</t>
  </si>
  <si>
    <t>April</t>
  </si>
  <si>
    <t>CUST007</t>
  </si>
  <si>
    <t>Michael Anderson</t>
  </si>
  <si>
    <t>David Thomas</t>
  </si>
  <si>
    <t>May</t>
  </si>
  <si>
    <t>CUST001</t>
  </si>
  <si>
    <t>Linda Wilson</t>
  </si>
  <si>
    <t>Emma Davis</t>
  </si>
  <si>
    <t>June</t>
  </si>
  <si>
    <t>CUST026</t>
  </si>
  <si>
    <t>Mary Davis</t>
  </si>
  <si>
    <t>Emma Taylor</t>
  </si>
  <si>
    <t>July</t>
  </si>
  <si>
    <t>CUST009</t>
  </si>
  <si>
    <t>Linda Jackson</t>
  </si>
  <si>
    <t>Emma Wilson</t>
  </si>
  <si>
    <t>August</t>
  </si>
  <si>
    <t>CUST010</t>
  </si>
  <si>
    <t>September</t>
  </si>
  <si>
    <t>CUST014</t>
  </si>
  <si>
    <t>October</t>
  </si>
  <si>
    <t>November</t>
  </si>
  <si>
    <t>John Brown</t>
  </si>
  <si>
    <t>December</t>
  </si>
  <si>
    <t>CUST023</t>
  </si>
  <si>
    <t>Linda Brown</t>
  </si>
  <si>
    <t>CUST029</t>
  </si>
  <si>
    <t>Linda Davis</t>
  </si>
  <si>
    <t>Sarah Anderson</t>
  </si>
  <si>
    <t>CUST008</t>
  </si>
  <si>
    <t>Linda Moore</t>
  </si>
  <si>
    <t>Lisa Thomas</t>
  </si>
  <si>
    <t>Linda Taylor</t>
  </si>
  <si>
    <t>CUST006</t>
  </si>
  <si>
    <t>Mary Jackson</t>
  </si>
  <si>
    <t>Lisa Davis</t>
  </si>
  <si>
    <t>CUST022</t>
  </si>
  <si>
    <t>Mary Wilson</t>
  </si>
  <si>
    <t>Sarah Davis</t>
  </si>
  <si>
    <t>CUST028</t>
  </si>
  <si>
    <t>CUST025</t>
  </si>
  <si>
    <t>CUST021</t>
  </si>
  <si>
    <t>CUST015</t>
  </si>
  <si>
    <t>CUST016</t>
  </si>
  <si>
    <t>CUST011</t>
  </si>
  <si>
    <t>CUST002</t>
  </si>
  <si>
    <t>CUST003</t>
  </si>
  <si>
    <t>CUST020</t>
  </si>
  <si>
    <t>CUST024</t>
  </si>
  <si>
    <t>CUST004</t>
  </si>
  <si>
    <t>CUST013</t>
  </si>
  <si>
    <t>CUST027</t>
  </si>
  <si>
    <t>CUST018</t>
  </si>
  <si>
    <t>Months</t>
  </si>
  <si>
    <t>Product Category</t>
  </si>
  <si>
    <t>Summarize insights</t>
  </si>
  <si>
    <t>Sum of Profit</t>
  </si>
  <si>
    <t>Total Profit</t>
  </si>
  <si>
    <t>Calculation for Slope &amp; Intercept</t>
  </si>
  <si>
    <t>Mean (of X)</t>
  </si>
  <si>
    <t>Mean (of Y)</t>
  </si>
  <si>
    <t>Deviations (of X)</t>
  </si>
  <si>
    <t>Deviations (of Y)</t>
  </si>
  <si>
    <t>Product of Deviations</t>
  </si>
  <si>
    <t>Sum of Product of Deviations</t>
  </si>
  <si>
    <t>Square of Deviations (of X)</t>
  </si>
  <si>
    <t>Sum of Square of Deviations (of X)</t>
  </si>
  <si>
    <r>
      <t xml:space="preserve">Slope (m) </t>
    </r>
    <r>
      <rPr>
        <sz val="11"/>
        <color theme="1"/>
        <rFont val="Arial"/>
        <family val="2"/>
      </rPr>
      <t>= Sum of Product of Deviations / Sum of Square of deviation for X</t>
    </r>
  </si>
  <si>
    <r>
      <t xml:space="preserve">Intercept (c) </t>
    </r>
    <r>
      <rPr>
        <sz val="11"/>
        <color theme="1"/>
        <rFont val="Arial"/>
        <family val="2"/>
      </rPr>
      <t>= Mean of Y - (m * Mean of X)</t>
    </r>
  </si>
  <si>
    <t>Slope (m) =</t>
  </si>
  <si>
    <t>Intercept (c) =</t>
  </si>
  <si>
    <t>x</t>
  </si>
  <si>
    <t>Y = mX + c</t>
  </si>
  <si>
    <t>Mean</t>
  </si>
  <si>
    <t>Std Dev</t>
  </si>
  <si>
    <t>Min</t>
  </si>
  <si>
    <t>Max</t>
  </si>
  <si>
    <t>Count</t>
  </si>
  <si>
    <t>Statistic</t>
  </si>
  <si>
    <t>Sales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</si>
</sst>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b/>
      <i/>
      <sz val="11"/>
      <color rgb="FF00B0F0"/>
      <name val="Calibri"/>
      <family val="2"/>
      <scheme val="minor"/>
    </font>
    <font>
      <i/>
      <sz val="11"/>
      <color theme="1"/>
      <name val="Calibri"/>
      <family val="2"/>
      <scheme val="minor"/>
    </font>
    <font>
      <sz val="11"/>
      <color rgb="FFFF0000"/>
      <name val="Calibri"/>
      <family val="2"/>
      <scheme val="minor"/>
    </font>
    <font>
      <b/>
      <i/>
      <sz val="28"/>
      <color rgb="FFFF0000"/>
      <name val="Arial Black"/>
      <family val="2"/>
    </font>
    <font>
      <b/>
      <sz val="11"/>
      <color theme="1"/>
      <name val="Aptos Narrow"/>
    </font>
    <font>
      <b/>
      <sz val="11"/>
      <color theme="1"/>
      <name val="Arial"/>
      <family val="2"/>
    </font>
    <font>
      <sz val="11"/>
      <color theme="1"/>
      <name val="Arial"/>
      <family val="2"/>
    </font>
  </fonts>
  <fills count="7">
    <fill>
      <patternFill patternType="none"/>
    </fill>
    <fill>
      <patternFill patternType="gray125"/>
    </fill>
    <fill>
      <patternFill patternType="solid">
        <fgColor theme="1" tint="4.9989318521683403E-2"/>
        <bgColor indexed="64"/>
      </patternFill>
    </fill>
    <fill>
      <patternFill patternType="solid">
        <fgColor theme="4"/>
        <bgColor theme="4"/>
      </patternFill>
    </fill>
    <fill>
      <patternFill patternType="solid">
        <fgColor theme="4" tint="-0.499984740745262"/>
        <bgColor indexed="64"/>
      </patternFill>
    </fill>
    <fill>
      <patternFill patternType="solid">
        <fgColor rgb="FFC0E6F5"/>
        <bgColor indexed="64"/>
      </patternFill>
    </fill>
    <fill>
      <patternFill patternType="solid">
        <fgColor rgb="FFF2F2F2"/>
        <bgColor indexed="64"/>
      </patternFill>
    </fill>
  </fills>
  <borders count="20">
    <border>
      <left/>
      <right/>
      <top/>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right/>
      <top style="medium">
        <color rgb="FFCCCCCC"/>
      </top>
      <bottom style="medium">
        <color rgb="FFCCCCCC"/>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CCCCCC"/>
      </left>
      <right style="medium">
        <color rgb="FFCCCCCC"/>
      </right>
      <top style="medium">
        <color rgb="FFCCCCCC"/>
      </top>
      <bottom style="medium">
        <color rgb="FF000000"/>
      </bottom>
      <diagonal/>
    </border>
  </borders>
  <cellStyleXfs count="2">
    <xf numFmtId="0" fontId="0" fillId="0" borderId="0"/>
    <xf numFmtId="9" fontId="1" fillId="0" borderId="0" applyFont="0" applyFill="0" applyBorder="0" applyAlignment="0" applyProtection="0"/>
  </cellStyleXfs>
  <cellXfs count="56">
    <xf numFmtId="0" fontId="0" fillId="0" borderId="0" xfId="0"/>
    <xf numFmtId="0" fontId="3" fillId="0" borderId="1" xfId="0" applyFont="1" applyBorder="1" applyAlignment="1">
      <alignment wrapText="1"/>
    </xf>
    <xf numFmtId="0" fontId="3" fillId="0" borderId="2" xfId="0" applyFont="1" applyBorder="1" applyAlignment="1">
      <alignment wrapText="1"/>
    </xf>
    <xf numFmtId="0" fontId="3" fillId="0" borderId="3" xfId="0" applyFont="1" applyBorder="1" applyAlignment="1">
      <alignment wrapText="1"/>
    </xf>
    <xf numFmtId="0" fontId="0" fillId="0" borderId="5" xfId="0" applyBorder="1" applyAlignment="1">
      <alignment vertical="center" wrapText="1"/>
    </xf>
    <xf numFmtId="0" fontId="0" fillId="0" borderId="6" xfId="0" applyBorder="1" applyAlignment="1">
      <alignment vertical="center" wrapText="1"/>
    </xf>
    <xf numFmtId="0" fontId="0" fillId="0" borderId="6" xfId="0" applyBorder="1" applyAlignment="1">
      <alignment horizontal="right" vertical="center" wrapText="1"/>
    </xf>
    <xf numFmtId="14" fontId="0" fillId="0" borderId="6" xfId="0" applyNumberFormat="1" applyBorder="1" applyAlignment="1">
      <alignment horizontal="right" vertical="center" wrapText="1"/>
    </xf>
    <xf numFmtId="0" fontId="0" fillId="0" borderId="7" xfId="0" applyBorder="1" applyAlignment="1">
      <alignment horizontal="right" vertical="center" wrapText="1"/>
    </xf>
    <xf numFmtId="0" fontId="0" fillId="0" borderId="2" xfId="0" applyBorder="1" applyAlignment="1">
      <alignment horizontal="right" vertical="center" wrapText="1"/>
    </xf>
    <xf numFmtId="0" fontId="0" fillId="0" borderId="0" xfId="0" applyAlignment="1">
      <alignment horizontal="left"/>
    </xf>
    <xf numFmtId="0" fontId="0" fillId="0" borderId="0" xfId="0" applyNumberFormat="1"/>
    <xf numFmtId="9" fontId="0" fillId="0" borderId="0" xfId="0" applyNumberFormat="1"/>
    <xf numFmtId="0" fontId="0" fillId="0" borderId="0" xfId="0" applyBorder="1"/>
    <xf numFmtId="0" fontId="5" fillId="0" borderId="0" xfId="0" applyFont="1" applyFill="1" applyBorder="1" applyAlignment="1">
      <alignment horizontal="centerContinuous"/>
    </xf>
    <xf numFmtId="9" fontId="0" fillId="0" borderId="0" xfId="1" applyFont="1"/>
    <xf numFmtId="0" fontId="0" fillId="0" borderId="0" xfId="0" applyFill="1" applyBorder="1" applyAlignment="1"/>
    <xf numFmtId="0" fontId="5" fillId="0" borderId="0" xfId="0" applyFont="1" applyFill="1" applyBorder="1" applyAlignment="1">
      <alignment horizontal="center"/>
    </xf>
    <xf numFmtId="14" fontId="0" fillId="0" borderId="0" xfId="0" applyNumberFormat="1" applyAlignment="1">
      <alignment horizontal="left"/>
    </xf>
    <xf numFmtId="0" fontId="0" fillId="0" borderId="8" xfId="0" applyBorder="1" applyAlignment="1">
      <alignment vertical="center" wrapText="1"/>
    </xf>
    <xf numFmtId="0" fontId="0" fillId="0" borderId="9" xfId="0" applyBorder="1" applyAlignment="1">
      <alignment vertical="center" wrapText="1"/>
    </xf>
    <xf numFmtId="0" fontId="0" fillId="0" borderId="9" xfId="0" applyBorder="1" applyAlignment="1">
      <alignment horizontal="right" vertical="center" wrapText="1"/>
    </xf>
    <xf numFmtId="14" fontId="0" fillId="0" borderId="9" xfId="0" applyNumberFormat="1" applyBorder="1" applyAlignment="1">
      <alignment horizontal="right" vertical="center" wrapText="1"/>
    </xf>
    <xf numFmtId="0" fontId="0" fillId="0" borderId="10" xfId="0" applyBorder="1" applyAlignment="1">
      <alignment horizontal="right" vertical="center" wrapText="1"/>
    </xf>
    <xf numFmtId="0" fontId="0" fillId="0" borderId="0" xfId="0" pivotButton="1"/>
    <xf numFmtId="0" fontId="8" fillId="6" borderId="15" xfId="0" applyFont="1" applyFill="1" applyBorder="1" applyAlignment="1">
      <alignment horizontal="center" vertical="center" wrapText="1"/>
    </xf>
    <xf numFmtId="0" fontId="1" fillId="0" borderId="15" xfId="0" applyFont="1" applyBorder="1" applyAlignment="1">
      <alignment vertical="center" wrapText="1"/>
    </xf>
    <xf numFmtId="4" fontId="1" fillId="0" borderId="15" xfId="0" applyNumberFormat="1" applyFont="1" applyBorder="1" applyAlignment="1">
      <alignment vertical="center" wrapText="1"/>
    </xf>
    <xf numFmtId="0" fontId="1" fillId="0" borderId="19" xfId="0" applyFont="1" applyBorder="1" applyAlignment="1">
      <alignment vertical="center" wrapText="1"/>
    </xf>
    <xf numFmtId="0" fontId="1" fillId="0" borderId="6" xfId="0" applyFont="1" applyBorder="1" applyAlignment="1">
      <alignment vertical="center" wrapText="1"/>
    </xf>
    <xf numFmtId="0" fontId="8" fillId="0" borderId="15" xfId="0" applyFont="1" applyBorder="1" applyAlignment="1">
      <alignment horizontal="center" vertical="center" wrapText="1"/>
    </xf>
    <xf numFmtId="164" fontId="0" fillId="0" borderId="0" xfId="0" applyNumberFormat="1" applyBorder="1"/>
    <xf numFmtId="164" fontId="5" fillId="0" borderId="0" xfId="0" applyNumberFormat="1" applyFont="1" applyFill="1" applyBorder="1" applyAlignment="1">
      <alignment horizontal="right"/>
    </xf>
    <xf numFmtId="164" fontId="0" fillId="0" borderId="0" xfId="0" applyNumberFormat="1" applyFill="1" applyBorder="1" applyAlignment="1"/>
    <xf numFmtId="0" fontId="0" fillId="0" borderId="0" xfId="0" applyFill="1" applyBorder="1"/>
    <xf numFmtId="0" fontId="9" fillId="0" borderId="12" xfId="0" applyFont="1" applyBorder="1" applyAlignment="1">
      <alignment vertical="center" wrapText="1"/>
    </xf>
    <xf numFmtId="0" fontId="9" fillId="0" borderId="13" xfId="0" applyFont="1" applyBorder="1" applyAlignment="1">
      <alignment vertical="center" wrapText="1"/>
    </xf>
    <xf numFmtId="0" fontId="9" fillId="0" borderId="14" xfId="0" applyFont="1" applyBorder="1" applyAlignment="1">
      <alignment vertical="center" wrapText="1"/>
    </xf>
    <xf numFmtId="0" fontId="8" fillId="5" borderId="12" xfId="0" applyFont="1" applyFill="1" applyBorder="1" applyAlignment="1">
      <alignment horizontal="center" vertical="center" wrapText="1"/>
    </xf>
    <xf numFmtId="0" fontId="8" fillId="5" borderId="13" xfId="0" applyFont="1" applyFill="1" applyBorder="1" applyAlignment="1">
      <alignment horizontal="center" vertical="center" wrapText="1"/>
    </xf>
    <xf numFmtId="0" fontId="8" fillId="5" borderId="14" xfId="0" applyFont="1" applyFill="1" applyBorder="1" applyAlignment="1">
      <alignment horizontal="center" vertical="center" wrapText="1"/>
    </xf>
    <xf numFmtId="0" fontId="1" fillId="0" borderId="16"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4" fontId="1" fillId="0" borderId="16" xfId="0" applyNumberFormat="1" applyFont="1" applyBorder="1" applyAlignment="1">
      <alignment horizontal="center" vertical="center" wrapText="1"/>
    </xf>
    <xf numFmtId="4" fontId="1" fillId="0" borderId="17" xfId="0" applyNumberFormat="1" applyFont="1" applyBorder="1" applyAlignment="1">
      <alignment horizontal="center" vertical="center" wrapText="1"/>
    </xf>
    <xf numFmtId="4" fontId="1" fillId="0" borderId="18" xfId="0" applyNumberFormat="1" applyFont="1" applyBorder="1" applyAlignment="1">
      <alignment horizontal="center" vertical="center" wrapText="1"/>
    </xf>
    <xf numFmtId="0" fontId="4" fillId="2" borderId="4" xfId="0" applyFont="1" applyFill="1" applyBorder="1" applyAlignment="1">
      <alignment horizontal="center" vertical="center" wrapText="1"/>
    </xf>
    <xf numFmtId="22" fontId="0" fillId="0" borderId="0" xfId="0" applyNumberFormat="1" applyAlignment="1">
      <alignment horizontal="center"/>
    </xf>
    <xf numFmtId="0" fontId="4" fillId="2" borderId="0" xfId="0" applyFont="1" applyFill="1" applyAlignment="1">
      <alignment horizontal="center" vertical="center" wrapText="1"/>
    </xf>
    <xf numFmtId="0" fontId="0" fillId="2" borderId="0" xfId="0" applyFont="1" applyFill="1" applyAlignment="1">
      <alignment horizontal="center" vertical="center"/>
    </xf>
    <xf numFmtId="0" fontId="2" fillId="3" borderId="7" xfId="0" applyFont="1" applyFill="1" applyBorder="1" applyAlignment="1">
      <alignment horizontal="center" wrapText="1"/>
    </xf>
    <xf numFmtId="0" fontId="2" fillId="3" borderId="11" xfId="0" applyFont="1" applyFill="1" applyBorder="1" applyAlignment="1">
      <alignment horizontal="center" wrapText="1"/>
    </xf>
    <xf numFmtId="0" fontId="2" fillId="3" borderId="5" xfId="0" applyFont="1" applyFill="1" applyBorder="1" applyAlignment="1">
      <alignment horizontal="center" wrapText="1"/>
    </xf>
    <xf numFmtId="0" fontId="7" fillId="4" borderId="0" xfId="0" applyFont="1" applyFill="1" applyAlignment="1">
      <alignment horizontal="center"/>
    </xf>
    <xf numFmtId="0" fontId="6" fillId="4" borderId="0" xfId="0" applyFont="1" applyFill="1" applyAlignment="1">
      <alignment horizontal="center"/>
    </xf>
  </cellXfs>
  <cellStyles count="2">
    <cellStyle name="Normal" xfId="0" builtinId="0"/>
    <cellStyle name="Percent" xfId="1" builtinId="5"/>
  </cellStyles>
  <dxfs count="20">
    <dxf>
      <numFmt numFmtId="0" formatCode="General"/>
      <alignment horizontal="right"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border>
    </dxf>
    <dxf>
      <alignment horizontal="right" vertical="center" textRotation="0" wrapText="1" indent="0" justifyLastLine="0" shrinkToFit="0" readingOrder="0"/>
      <border diagonalUp="0" diagonalDown="0" outline="0">
        <left style="medium">
          <color rgb="FFCCCCCC"/>
        </left>
        <right/>
        <top style="medium">
          <color rgb="FFCCCCCC"/>
        </top>
        <bottom style="medium">
          <color rgb="FFCCCCCC"/>
        </bottom>
      </border>
    </dxf>
    <dxf>
      <numFmt numFmtId="19" formatCode="dd/mm/yyyy"/>
      <alignment horizontal="right"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alignment horizontal="right"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alignment horizontal="right"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alignment horizontal="right"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alignment horizontal="general"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alignment horizontal="general"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alignment horizontal="general"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alignment horizontal="general" vertical="center" textRotation="0" wrapText="1" indent="0" justifyLastLine="0" shrinkToFit="0" readingOrder="0"/>
      <border diagonalUp="0" diagonalDown="0" outline="0">
        <left/>
        <right style="medium">
          <color rgb="FFCCCCCC"/>
        </right>
        <top style="medium">
          <color rgb="FFCCCCCC"/>
        </top>
        <bottom style="medium">
          <color rgb="FFCCCCCC"/>
        </bottom>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alignment horizontal="right" vertical="center" textRotation="0" wrapText="1" indent="0" justifyLastLine="0" shrinkToFit="0" readingOrder="0"/>
    </dxf>
    <dxf>
      <border outline="0">
        <bottom style="medium">
          <color rgb="FFCCCCCC"/>
        </bottom>
      </border>
    </dxf>
    <dxf>
      <font>
        <b/>
        <i val="0"/>
        <strike val="0"/>
        <condense val="0"/>
        <extend val="0"/>
        <outline val="0"/>
        <shadow val="0"/>
        <u val="none"/>
        <vertAlign val="baseline"/>
        <sz val="11"/>
        <color theme="1"/>
        <name val="Calibri"/>
        <scheme val="minor"/>
      </font>
      <alignment horizontal="general" vertical="bottom" textRotation="0" wrapText="1" indent="0" justifyLastLine="0" shrinkToFit="0" readingOrder="0"/>
      <border diagonalUp="0" diagonalDown="0" outline="0">
        <left style="medium">
          <color rgb="FFCCCCCC"/>
        </left>
        <right style="medium">
          <color rgb="FFCCCCCC"/>
        </right>
        <top/>
        <bottom/>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calcChain" Target="calcChain.xml"/><Relationship Id="rId5" Type="http://schemas.openxmlformats.org/officeDocument/2006/relationships/pivotCacheDefinition" Target="pivotCache/pivotCacheDefinition2.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[project_2 (Autosaved).xlsx]Sheet2!PivotTable15</c:name>
    <c:fmtId val="5"/>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Sheet2!$A$4:$A$9</c:f>
              <c:strCache>
                <c:ptCount val="5"/>
                <c:pt idx="0">
                  <c:v>Central</c:v>
                </c:pt>
                <c:pt idx="1">
                  <c:v>East</c:v>
                </c:pt>
                <c:pt idx="2">
                  <c:v>North</c:v>
                </c:pt>
                <c:pt idx="3">
                  <c:v>South</c:v>
                </c:pt>
                <c:pt idx="4">
                  <c:v>West</c:v>
                </c:pt>
              </c:strCache>
            </c:strRef>
          </c:cat>
          <c:val>
            <c:numRef>
              <c:f>Sheet2!$B$4:$B$9</c:f>
              <c:numCache>
                <c:formatCode>General</c:formatCode>
                <c:ptCount val="5"/>
                <c:pt idx="0">
                  <c:v>43468.33</c:v>
                </c:pt>
                <c:pt idx="1">
                  <c:v>32441.64</c:v>
                </c:pt>
                <c:pt idx="2">
                  <c:v>34975.42</c:v>
                </c:pt>
                <c:pt idx="3">
                  <c:v>40248.79</c:v>
                </c:pt>
                <c:pt idx="4">
                  <c:v>44083.58</c:v>
                </c:pt>
              </c:numCache>
            </c:numRef>
          </c:val>
          <c:extLst>
            <c:ext xmlns:c16="http://schemas.microsoft.com/office/drawing/2014/chart" uri="{C3380CC4-5D6E-409C-BE32-E72D297353CC}">
              <c16:uniqueId val="{00000000-10D8-41D0-8F9B-32F8D588BB14}"/>
            </c:ext>
          </c:extLst>
        </c:ser>
        <c:dLbls>
          <c:showLegendKey val="0"/>
          <c:showVal val="1"/>
          <c:showCatName val="0"/>
          <c:showSerName val="0"/>
          <c:showPercent val="0"/>
          <c:showBubbleSize val="0"/>
        </c:dLbls>
        <c:gapWidth val="150"/>
        <c:shape val="box"/>
        <c:axId val="954334752"/>
        <c:axId val="954336416"/>
        <c:axId val="0"/>
      </c:bar3DChart>
      <c:catAx>
        <c:axId val="954334752"/>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sz="1100" b="0" i="0" u="none" strike="noStrike" baseline="0"/>
                  <a:t>Region</a:t>
                </a:r>
                <a:endParaRPr lang="en-IN"/>
              </a:p>
            </c:rich>
          </c:tx>
          <c:layout>
            <c:manualLayout>
              <c:xMode val="edge"/>
              <c:yMode val="edge"/>
              <c:x val="0.4376811023622047"/>
              <c:y val="0.8166017789442986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4336416"/>
        <c:crosses val="autoZero"/>
        <c:auto val="1"/>
        <c:lblAlgn val="ctr"/>
        <c:lblOffset val="100"/>
        <c:noMultiLvlLbl val="0"/>
      </c:catAx>
      <c:valAx>
        <c:axId val="954336416"/>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sz="1100"/>
                  <a:t>Total Sales</a:t>
                </a:r>
              </a:p>
            </c:rich>
          </c:tx>
          <c:layout>
            <c:manualLayout>
              <c:xMode val="edge"/>
              <c:yMode val="edge"/>
              <c:x val="3.0165791776027996E-2"/>
              <c:y val="0.38825933216681247"/>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4334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[project_2 (Autosaved).xlsx]Sheet2!PivotTable16</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Sheet2!$E$3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Sheet2!$D$4:$D$16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Sheet2!$E$4:$E$16</c:f>
              <c:numCache>
                <c:formatCode>General</c:formatCode>
                <c:ptCount val="12"/>
                <c:pt idx="0">
                  <c:v>14914.650000000001</c:v>
                </c:pt>
                <c:pt idx="1">
                  <c:v>14006.359999999999</c:v>
                </c:pt>
                <c:pt idx="2">
                  <c:v>17655.219999999998</c:v>
                </c:pt>
                <c:pt idx="3">
                  <c:v>22242.129999999997</c:v>
                </c:pt>
                <c:pt idx="4">
                  <c:v>18507.339999999997</c:v>
                </c:pt>
                <c:pt idx="5">
                  <c:v>20187.509999999998</c:v>
                </c:pt>
                <c:pt idx="6">
                  <c:v>11609.039999999999</c:v>
                </c:pt>
                <c:pt idx="7">
                  <c:v>10091.699999999999</c:v>
                </c:pt>
                <c:pt idx="8">
                  <c:v>20533.499999999996</c:v>
                </c:pt>
                <c:pt idx="9">
                  <c:v>14215.240000000002</c:v>
                </c:pt>
                <c:pt idx="10">
                  <c:v>20135.030000000002</c:v>
                </c:pt>
                <c:pt idx="11">
                  <c:v>11120.04</c:v>
                </c:pt>
              </c:numCache>
            </c:numRef>
          </c:val>
          <c:smooth val="0"/>
          <c:extLst>
            <c:ext xmlns:c16="http://schemas.microsoft.com/office/drawing/2014/chart" uri="{C3380CC4-5D6E-409C-BE32-E72D297353CC}">
              <c16:uniqueId val="{00000000-9DFE-4D7E-AFBC-4F6090824672}"/>
            </c:ext>
          </c:extLst>
        </c:ser>
        <c:dLbls>
          <c:showLegendKey val="0"/>
          <c:showVal val="0"/>
          <c:showCatName val="0"/>
          <c:showSerName val="0"/>
          <c:showPercent val="0"/>
          <c:showBubbleSize val="0"/>
        </c:dLbls>
        <c:marker val="1"/>
        <c:smooth val="0"/>
        <c:axId val="954328512"/>
        <c:axId val="954339744"/>
      </c:lineChart>
      <c:catAx>
        <c:axId val="9543285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100"/>
                  <a:t>Months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4339744"/>
        <c:crosses val="autoZero"/>
        <c:auto val="1"/>
        <c:lblAlgn val="ctr"/>
        <c:lblOffset val="100"/>
        <c:noMultiLvlLbl val="0"/>
      </c:catAx>
      <c:valAx>
        <c:axId val="9543397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100"/>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4328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[project_2 (Autosaved).xlsx]Sheet2!PivotTable17</c:name>
    <c:fmtId val="13"/>
  </c:pivotSource>
  <c:chart>
    <c:autoTitleDeleted val="1"/>
    <c:pivotFmts>
      <c:pivotFmt>
        <c:idx val="0"/>
      </c:pivotFmt>
      <c:pivotFmt>
        <c:idx val="1"/>
        <c:spPr>
          <a:solidFill>
            <a:schemeClr val="accent2"/>
          </a:solidFill>
          <a:ln>
            <a:noFill/>
          </a:ln>
          <a:effectLst>
            <a:outerShdw blurRad="254000" sx="102000" sy="102000" algn="ctr" rotWithShape="0">
              <a:prstClr val="black">
                <a:alpha val="20000"/>
              </a:prstClr>
            </a:outerShdw>
          </a:effectLst>
        </c:spPr>
        <c:marker>
          <c:spPr>
            <a:solidFill>
              <a:schemeClr val="accent2">
                <a:alpha val="85000"/>
              </a:schemeClr>
            </a:solidFill>
            <a:ln>
              <a:noFill/>
            </a:ln>
            <a:effectLst/>
          </c:spPr>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2"/>
          </a:solidFill>
          <a:ln>
            <a:noFill/>
          </a:ln>
          <a:effectLst>
            <a:outerShdw blurRad="254000" sx="102000" sy="102000" algn="ctr" rotWithShape="0">
              <a:prstClr val="black">
                <a:alpha val="20000"/>
              </a:prstClr>
            </a:outerShdw>
          </a:effectLst>
        </c:spPr>
      </c:pivotFmt>
      <c:pivotFmt>
        <c:idx val="4"/>
        <c:spPr>
          <a:solidFill>
            <a:schemeClr val="accent2"/>
          </a:solidFill>
          <a:ln>
            <a:noFill/>
          </a:ln>
          <a:effectLst>
            <a:outerShdw blurRad="254000" sx="102000" sy="102000" algn="ctr" rotWithShape="0">
              <a:prstClr val="black">
                <a:alpha val="20000"/>
              </a:prstClr>
            </a:outerShdw>
          </a:effectLst>
        </c:spPr>
      </c:pivotFmt>
      <c:pivotFmt>
        <c:idx val="5"/>
        <c:spPr>
          <a:solidFill>
            <a:schemeClr val="accent2"/>
          </a:solidFill>
          <a:ln>
            <a:noFill/>
          </a:ln>
          <a:effectLst>
            <a:outerShdw blurRad="254000" sx="102000" sy="102000" algn="ctr" rotWithShape="0">
              <a:prstClr val="black">
                <a:alpha val="20000"/>
              </a:prstClr>
            </a:outerShdw>
          </a:effectLst>
        </c:spPr>
      </c:pivotFmt>
      <c:pivotFmt>
        <c:idx val="6"/>
        <c:spPr>
          <a:solidFill>
            <a:schemeClr val="accent2"/>
          </a:solidFill>
          <a:ln>
            <a:noFill/>
          </a:ln>
          <a:effectLst>
            <a:outerShdw blurRad="254000" sx="102000" sy="102000" algn="ctr" rotWithShape="0">
              <a:prstClr val="black">
                <a:alpha val="20000"/>
              </a:prstClr>
            </a:outerShdw>
          </a:effectLst>
        </c:spPr>
      </c:pivotFmt>
      <c:pivotFmt>
        <c:idx val="7"/>
        <c:spPr>
          <a:solidFill>
            <a:schemeClr val="accent2"/>
          </a:solidFill>
          <a:ln>
            <a:noFill/>
          </a:ln>
          <a:effectLst>
            <a:outerShdw blurRad="254000" sx="102000" sy="102000" algn="ctr" rotWithShape="0">
              <a:prstClr val="black">
                <a:alpha val="20000"/>
              </a:prstClr>
            </a:outerShdw>
          </a:effectLst>
        </c:spPr>
      </c:pivotFmt>
      <c:pivotFmt>
        <c:idx val="8"/>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2"/>
          </a:solidFill>
          <a:ln>
            <a:noFill/>
          </a:ln>
          <a:effectLst>
            <a:outerShdw blurRad="254000" sx="102000" sy="102000" algn="ctr" rotWithShape="0">
              <a:prstClr val="black">
                <a:alpha val="20000"/>
              </a:prstClr>
            </a:outerShdw>
          </a:effectLst>
        </c:spPr>
      </c:pivotFmt>
      <c:pivotFmt>
        <c:idx val="10"/>
        <c:spPr>
          <a:solidFill>
            <a:schemeClr val="accent2"/>
          </a:solidFill>
          <a:ln>
            <a:noFill/>
          </a:ln>
          <a:effectLst>
            <a:outerShdw blurRad="254000" sx="102000" sy="102000" algn="ctr" rotWithShape="0">
              <a:prstClr val="black">
                <a:alpha val="20000"/>
              </a:prstClr>
            </a:outerShdw>
          </a:effectLst>
        </c:spPr>
      </c:pivotFmt>
      <c:pivotFmt>
        <c:idx val="11"/>
        <c:spPr>
          <a:solidFill>
            <a:schemeClr val="accent2"/>
          </a:solidFill>
          <a:ln>
            <a:noFill/>
          </a:ln>
          <a:effectLst>
            <a:outerShdw blurRad="254000" sx="102000" sy="102000" algn="ctr" rotWithShape="0">
              <a:prstClr val="black">
                <a:alpha val="20000"/>
              </a:prstClr>
            </a:outerShdw>
          </a:effectLst>
        </c:spPr>
      </c:pivotFmt>
      <c:pivotFmt>
        <c:idx val="12"/>
        <c:spPr>
          <a:solidFill>
            <a:schemeClr val="accent2"/>
          </a:solidFill>
          <a:ln>
            <a:noFill/>
          </a:ln>
          <a:effectLst>
            <a:outerShdw blurRad="254000" sx="102000" sy="102000" algn="ctr" rotWithShape="0">
              <a:prstClr val="black">
                <a:alpha val="20000"/>
              </a:prstClr>
            </a:outerShdw>
          </a:effectLst>
        </c:spPr>
      </c:pivotFmt>
      <c:pivotFmt>
        <c:idx val="13"/>
        <c:spPr>
          <a:solidFill>
            <a:schemeClr val="accent2"/>
          </a:solidFill>
          <a:ln>
            <a:noFill/>
          </a:ln>
          <a:effectLst>
            <a:outerShdw blurRad="254000" sx="102000" sy="102000" algn="ctr" rotWithShape="0">
              <a:prstClr val="black">
                <a:alpha val="20000"/>
              </a:prstClr>
            </a:outerShdw>
          </a:effectLst>
        </c:spPr>
      </c:pivotFmt>
      <c:pivotFmt>
        <c:idx val="14"/>
        <c:spPr>
          <a:solidFill>
            <a:schemeClr val="accent2"/>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Sheet2!$H$3</c:f>
              <c:strCache>
                <c:ptCount val="1"/>
                <c:pt idx="0">
                  <c:v>Total</c:v>
                </c:pt>
              </c:strCache>
            </c:strRef>
          </c:tx>
          <c:dPt>
            <c:idx val="0"/>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E9F-4832-B1F9-2362313AD4C5}"/>
              </c:ext>
            </c:extLst>
          </c:dPt>
          <c:dPt>
            <c:idx val="1"/>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E9F-4832-B1F9-2362313AD4C5}"/>
              </c:ext>
            </c:extLst>
          </c:dPt>
          <c:dPt>
            <c:idx val="2"/>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DE9F-4832-B1F9-2362313AD4C5}"/>
              </c:ext>
            </c:extLst>
          </c:dPt>
          <c:dPt>
            <c:idx val="3"/>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DE9F-4832-B1F9-2362313AD4C5}"/>
              </c:ext>
            </c:extLst>
          </c:dPt>
          <c:dPt>
            <c:idx val="4"/>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DE9F-4832-B1F9-2362313AD4C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Sheet2!$G$4:$G$9</c:f>
              <c:strCache>
                <c:ptCount val="5"/>
                <c:pt idx="0">
                  <c:v>Books</c:v>
                </c:pt>
                <c:pt idx="1">
                  <c:v>Clothing</c:v>
                </c:pt>
                <c:pt idx="2">
                  <c:v>Electronics</c:v>
                </c:pt>
                <c:pt idx="3">
                  <c:v>Furniture</c:v>
                </c:pt>
                <c:pt idx="4">
                  <c:v>Office Supplies</c:v>
                </c:pt>
              </c:strCache>
            </c:strRef>
          </c:cat>
          <c:val>
            <c:numRef>
              <c:f>Sheet2!$H$4:$H$9</c:f>
              <c:numCache>
                <c:formatCode>General</c:formatCode>
                <c:ptCount val="5"/>
                <c:pt idx="0">
                  <c:v>47002.460000000006</c:v>
                </c:pt>
                <c:pt idx="1">
                  <c:v>41927.589999999989</c:v>
                </c:pt>
                <c:pt idx="2">
                  <c:v>41044.000000000007</c:v>
                </c:pt>
                <c:pt idx="3">
                  <c:v>36612.89</c:v>
                </c:pt>
                <c:pt idx="4">
                  <c:v>28630.819999999992</c:v>
                </c:pt>
              </c:numCache>
            </c:numRef>
          </c:val>
          <c:extLst>
            <c:ext xmlns:c16="http://schemas.microsoft.com/office/drawing/2014/chart" uri="{C3380CC4-5D6E-409C-BE32-E72D297353CC}">
              <c16:uniqueId val="{0000000A-DE9F-4832-B1F9-2362313AD4C5}"/>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[project_2 (Autosaved).xlsx]Sheet2!PivotTable1</c:name>
    <c:fmtId val="3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of Region </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Sheet2!$K$3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Sheet2!$J$4:$J$9</c:f>
              <c:strCache>
                <c:ptCount val="5"/>
                <c:pt idx="0">
                  <c:v>Central</c:v>
                </c:pt>
                <c:pt idx="1">
                  <c:v>East</c:v>
                </c:pt>
                <c:pt idx="2">
                  <c:v>North</c:v>
                </c:pt>
                <c:pt idx="3">
                  <c:v>South</c:v>
                </c:pt>
                <c:pt idx="4">
                  <c:v>West</c:v>
                </c:pt>
              </c:strCache>
            </c:strRef>
          </c:cat>
          <c:val>
            <c:numRef>
              <c:f>Sheet2!$K$4:$K$9</c:f>
              <c:numCache>
                <c:formatCode>General</c:formatCode>
                <c:ptCount val="5"/>
                <c:pt idx="0">
                  <c:v>43468.33</c:v>
                </c:pt>
                <c:pt idx="1">
                  <c:v>32441.64</c:v>
                </c:pt>
                <c:pt idx="2">
                  <c:v>34975.42</c:v>
                </c:pt>
                <c:pt idx="3">
                  <c:v>40248.79</c:v>
                </c:pt>
                <c:pt idx="4">
                  <c:v>44083.58</c:v>
                </c:pt>
              </c:numCache>
            </c:numRef>
          </c:val>
          <c:extLst>
            <c:ext xmlns:c16="http://schemas.microsoft.com/office/drawing/2014/chart" uri="{C3380CC4-5D6E-409C-BE32-E72D297353CC}">
              <c16:uniqueId val="{00000000-C803-47C3-8E40-A6ED71DA7AE3}"/>
            </c:ext>
          </c:extLst>
        </c:ser>
        <c:dLbls>
          <c:showLegendKey val="0"/>
          <c:showVal val="0"/>
          <c:showCatName val="0"/>
          <c:showSerName val="0"/>
          <c:showPercent val="0"/>
          <c:showBubbleSize val="0"/>
        </c:dLbls>
        <c:gapWidth val="150"/>
        <c:shape val="box"/>
        <c:axId val="1290539616"/>
        <c:axId val="1290545856"/>
        <c:axId val="0"/>
      </c:bar3DChart>
      <c:catAx>
        <c:axId val="12905396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Region</a:t>
                </a:r>
              </a:p>
            </c:rich>
          </c:tx>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0545856"/>
        <c:crosses val="autoZero"/>
        <c:auto val="1"/>
        <c:lblAlgn val="ctr"/>
        <c:lblOffset val="100"/>
        <c:noMultiLvlLbl val="0"/>
      </c:catAx>
      <c:valAx>
        <c:axId val="1290545856"/>
        <c:scaling>
          <c:orientation val="minMax"/>
        </c:scaling>
        <c:delete val="0"/>
        <c:axPos val="l"/>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Sales</a:t>
                </a:r>
              </a:p>
            </c:rich>
          </c:tx>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053961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[project_2 (Autosaved).xlsx]Sheet2!PivotTable17</c:name>
    <c:fmtId val="19"/>
  </c:pivotSource>
  <c:chart>
    <c:autoTitleDeleted val="1"/>
    <c:pivotFmts>
      <c:pivotFmt>
        <c:idx val="0"/>
      </c:pivotFmt>
      <c:pivotFmt>
        <c:idx val="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layout/>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Sheet2!$H$3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9501-4E55-AA84-65375484E3D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9501-4E55-AA84-65375484E3D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9501-4E55-AA84-65375484E3D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9501-4E55-AA84-65375484E3DB}"/>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9501-4E55-AA84-65375484E3D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Sheet2!$G$4:$G$9</c:f>
              <c:strCache>
                <c:ptCount val="5"/>
                <c:pt idx="0">
                  <c:v>Books</c:v>
                </c:pt>
                <c:pt idx="1">
                  <c:v>Clothing</c:v>
                </c:pt>
                <c:pt idx="2">
                  <c:v>Electronics</c:v>
                </c:pt>
                <c:pt idx="3">
                  <c:v>Furniture</c:v>
                </c:pt>
                <c:pt idx="4">
                  <c:v>Office Supplies</c:v>
                </c:pt>
              </c:strCache>
            </c:strRef>
          </c:cat>
          <c:val>
            <c:numRef>
              <c:f>Sheet2!$H$4:$H$9</c:f>
              <c:numCache>
                <c:formatCode>General</c:formatCode>
                <c:ptCount val="5"/>
                <c:pt idx="0">
                  <c:v>47002.460000000006</c:v>
                </c:pt>
                <c:pt idx="1">
                  <c:v>41927.589999999989</c:v>
                </c:pt>
                <c:pt idx="2">
                  <c:v>41044.000000000007</c:v>
                </c:pt>
                <c:pt idx="3">
                  <c:v>36612.89</c:v>
                </c:pt>
                <c:pt idx="4">
                  <c:v>28630.819999999992</c:v>
                </c:pt>
              </c:numCache>
            </c:numRef>
          </c:val>
          <c:extLst>
            <c:ext xmlns:c16="http://schemas.microsoft.com/office/drawing/2014/chart" uri="{C3380CC4-5D6E-409C-BE32-E72D297353CC}">
              <c16:uniqueId val="{0000000A-9501-4E55-AA84-65375484E3DB}"/>
            </c:ext>
          </c:extLst>
        </c:ser>
        <c:dLbls>
          <c:dLblPos val="outEnd"/>
          <c:showLegendKey val="0"/>
          <c:showVal val="0"/>
          <c:showCatName val="0"/>
          <c:showSerName val="0"/>
          <c:showPercent val="1"/>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[project_2 (Autosaved).xlsx]Sheet2!PivotTable2</c:name>
    <c:fmtId val="13"/>
  </c:pivotSource>
  <c:chart>
    <c:autoTitleDeleted val="0"/>
    <c:pivotFmts>
      <c:pivotFmt>
        <c:idx val="0"/>
      </c:pivotFmt>
      <c:pivotFmt>
        <c:idx val="1"/>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pivotFmt>
      <c:pivotFmt>
        <c:idx val="7"/>
      </c:pivotFmt>
      <c:pivotFmt>
        <c:idx val="8"/>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9"/>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Sheet2!$N$3</c:f>
              <c:strCache>
                <c:ptCount val="1"/>
                <c:pt idx="0">
                  <c:v>Sum of Sales</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Sheet2!$M$4:$M$16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Sheet2!$N$4:$N$16</c:f>
              <c:numCache>
                <c:formatCode>General</c:formatCode>
                <c:ptCount val="12"/>
                <c:pt idx="0">
                  <c:v>14914.650000000001</c:v>
                </c:pt>
                <c:pt idx="1">
                  <c:v>14006.359999999999</c:v>
                </c:pt>
                <c:pt idx="2">
                  <c:v>17655.219999999998</c:v>
                </c:pt>
                <c:pt idx="3">
                  <c:v>22242.129999999997</c:v>
                </c:pt>
                <c:pt idx="4">
                  <c:v>18507.339999999997</c:v>
                </c:pt>
                <c:pt idx="5">
                  <c:v>20187.509999999998</c:v>
                </c:pt>
                <c:pt idx="6">
                  <c:v>11609.039999999999</c:v>
                </c:pt>
                <c:pt idx="7">
                  <c:v>10091.699999999999</c:v>
                </c:pt>
                <c:pt idx="8">
                  <c:v>20533.499999999996</c:v>
                </c:pt>
                <c:pt idx="9">
                  <c:v>14215.240000000002</c:v>
                </c:pt>
                <c:pt idx="10">
                  <c:v>20135.030000000002</c:v>
                </c:pt>
                <c:pt idx="11">
                  <c:v>11120.04</c:v>
                </c:pt>
              </c:numCache>
            </c:numRef>
          </c:val>
          <c:extLst>
            <c:ext xmlns:c16="http://schemas.microsoft.com/office/drawing/2014/chart" uri="{C3380CC4-5D6E-409C-BE32-E72D297353CC}">
              <c16:uniqueId val="{00000000-D00F-4CF9-A42A-66BACE577370}"/>
            </c:ext>
          </c:extLst>
        </c:ser>
        <c:ser>
          <c:idx val="1"/>
          <c:order val="1"/>
          <c:tx>
            <c:strRef>
              <c:f>Sheet2!$O$3</c:f>
              <c:strCache>
                <c:ptCount val="1"/>
                <c:pt idx="0">
                  <c:v>Sum of Profit</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Sheet2!$M$4:$M$16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Sheet2!$O$4:$O$16</c:f>
              <c:numCache>
                <c:formatCode>General</c:formatCode>
                <c:ptCount val="12"/>
                <c:pt idx="0">
                  <c:v>5763.4</c:v>
                </c:pt>
                <c:pt idx="1">
                  <c:v>5039.2299999999996</c:v>
                </c:pt>
                <c:pt idx="2">
                  <c:v>7071.39</c:v>
                </c:pt>
                <c:pt idx="3">
                  <c:v>7642.86</c:v>
                </c:pt>
                <c:pt idx="4">
                  <c:v>6121.3499999999995</c:v>
                </c:pt>
                <c:pt idx="5">
                  <c:v>6918</c:v>
                </c:pt>
                <c:pt idx="6">
                  <c:v>3743.85</c:v>
                </c:pt>
                <c:pt idx="7">
                  <c:v>3302.84</c:v>
                </c:pt>
                <c:pt idx="8">
                  <c:v>7457.5199999999995</c:v>
                </c:pt>
                <c:pt idx="9">
                  <c:v>4861.7</c:v>
                </c:pt>
                <c:pt idx="10">
                  <c:v>6814.8799999999992</c:v>
                </c:pt>
                <c:pt idx="11">
                  <c:v>3549.99</c:v>
                </c:pt>
              </c:numCache>
            </c:numRef>
          </c:val>
          <c:extLst>
            <c:ext xmlns:c16="http://schemas.microsoft.com/office/drawing/2014/chart" uri="{C3380CC4-5D6E-409C-BE32-E72D297353CC}">
              <c16:uniqueId val="{00000001-D00F-4CF9-A42A-66BACE577370}"/>
            </c:ext>
          </c:extLst>
        </c:ser>
        <c:dLbls>
          <c:showLegendKey val="0"/>
          <c:showVal val="0"/>
          <c:showCatName val="0"/>
          <c:showSerName val="0"/>
          <c:showPercent val="0"/>
          <c:showBubbleSize val="0"/>
        </c:dLbls>
        <c:gapWidth val="65"/>
        <c:shape val="box"/>
        <c:axId val="1691580239"/>
        <c:axId val="1691582319"/>
        <c:axId val="0"/>
      </c:bar3DChart>
      <c:catAx>
        <c:axId val="169158023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91582319"/>
        <c:crosses val="autoZero"/>
        <c:auto val="1"/>
        <c:lblAlgn val="ctr"/>
        <c:lblOffset val="100"/>
        <c:noMultiLvlLbl val="0"/>
      </c:catAx>
      <c:valAx>
        <c:axId val="1691582319"/>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691580239"/>
        <c:crosses val="autoZero"/>
        <c:crossBetween val="between"/>
      </c:val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[project_2 (Autosaved).xlsx]Sheet2!PivotTable3</c:name>
    <c:fmtId val="11"/>
  </c:pivotSource>
  <c:chart>
    <c:autoTitleDeleted val="0"/>
    <c:pivotFmts>
      <c:pivotFmt>
        <c:idx val="0"/>
      </c:pivotFmt>
      <c:pivotFmt>
        <c:idx val="1"/>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Sheet2!$N$19</c:f>
              <c:strCache>
                <c:ptCount val="1"/>
                <c:pt idx="0">
                  <c:v>Sum of Profit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Sheet2!$M$20:$M$25</c:f>
              <c:strCache>
                <c:ptCount val="5"/>
                <c:pt idx="0">
                  <c:v>Books</c:v>
                </c:pt>
                <c:pt idx="1">
                  <c:v>Clothing</c:v>
                </c:pt>
                <c:pt idx="2">
                  <c:v>Electronics</c:v>
                </c:pt>
                <c:pt idx="3">
                  <c:v>Furniture</c:v>
                </c:pt>
                <c:pt idx="4">
                  <c:v>Office Supplies</c:v>
                </c:pt>
              </c:strCache>
            </c:strRef>
          </c:cat>
          <c:val>
            <c:numRef>
              <c:f>Sheet2!$N$20:$N$25</c:f>
              <c:numCache>
                <c:formatCode>General</c:formatCode>
                <c:ptCount val="5"/>
                <c:pt idx="0">
                  <c:v>16901.630000000005</c:v>
                </c:pt>
                <c:pt idx="1">
                  <c:v>18784.490000000002</c:v>
                </c:pt>
                <c:pt idx="2">
                  <c:v>9182.1500000000015</c:v>
                </c:pt>
                <c:pt idx="3">
                  <c:v>11579.140000000003</c:v>
                </c:pt>
                <c:pt idx="4">
                  <c:v>11839.599999999999</c:v>
                </c:pt>
              </c:numCache>
            </c:numRef>
          </c:val>
          <c:smooth val="0"/>
          <c:extLst>
            <c:ext xmlns:c16="http://schemas.microsoft.com/office/drawing/2014/chart" uri="{C3380CC4-5D6E-409C-BE32-E72D297353CC}">
              <c16:uniqueId val="{00000000-BB75-4BD0-AB97-5D51FB14249F}"/>
            </c:ext>
          </c:extLst>
        </c:ser>
        <c:ser>
          <c:idx val="1"/>
          <c:order val="1"/>
          <c:tx>
            <c:strRef>
              <c:f>Sheet2!$O$19</c:f>
              <c:strCache>
                <c:ptCount val="1"/>
                <c:pt idx="0">
                  <c:v>Sum of Sales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Sheet2!$M$20:$M$25</c:f>
              <c:strCache>
                <c:ptCount val="5"/>
                <c:pt idx="0">
                  <c:v>Books</c:v>
                </c:pt>
                <c:pt idx="1">
                  <c:v>Clothing</c:v>
                </c:pt>
                <c:pt idx="2">
                  <c:v>Electronics</c:v>
                </c:pt>
                <c:pt idx="3">
                  <c:v>Furniture</c:v>
                </c:pt>
                <c:pt idx="4">
                  <c:v>Office Supplies</c:v>
                </c:pt>
              </c:strCache>
            </c:strRef>
          </c:cat>
          <c:val>
            <c:numRef>
              <c:f>Sheet2!$O$20:$O$25</c:f>
              <c:numCache>
                <c:formatCode>General</c:formatCode>
                <c:ptCount val="5"/>
                <c:pt idx="0">
                  <c:v>47002.460000000006</c:v>
                </c:pt>
                <c:pt idx="1">
                  <c:v>41927.589999999989</c:v>
                </c:pt>
                <c:pt idx="2">
                  <c:v>41044.000000000007</c:v>
                </c:pt>
                <c:pt idx="3">
                  <c:v>36612.89</c:v>
                </c:pt>
                <c:pt idx="4">
                  <c:v>28630.819999999992</c:v>
                </c:pt>
              </c:numCache>
            </c:numRef>
          </c:val>
          <c:smooth val="0"/>
          <c:extLst>
            <c:ext xmlns:c16="http://schemas.microsoft.com/office/drawing/2014/chart" uri="{C3380CC4-5D6E-409C-BE32-E72D297353CC}">
              <c16:uniqueId val="{00000001-BB75-4BD0-AB97-5D51FB14249F}"/>
            </c:ext>
          </c:extLst>
        </c:ser>
        <c:dLbls>
          <c:showLegendKey val="0"/>
          <c:showVal val="0"/>
          <c:showCatName val="0"/>
          <c:showSerName val="0"/>
          <c:showPercent val="0"/>
          <c:showBubbleSize val="0"/>
        </c:dLbls>
        <c:marker val="1"/>
        <c:smooth val="0"/>
        <c:axId val="1343314560"/>
        <c:axId val="1343313312"/>
      </c:lineChart>
      <c:catAx>
        <c:axId val="1343314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3313312"/>
        <c:crosses val="autoZero"/>
        <c:auto val="1"/>
        <c:lblAlgn val="ctr"/>
        <c:lblOffset val="100"/>
        <c:noMultiLvlLbl val="0"/>
      </c:catAx>
      <c:valAx>
        <c:axId val="1343313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331456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40</xdr:col>
      <xdr:colOff>0</xdr:colOff>
      <xdr:row>1</xdr:row>
      <xdr:rowOff>30480</xdr:rowOff>
    </xdr:from>
    <xdr:to>
      <xdr:col>51</xdr:col>
      <xdr:colOff>487680</xdr:colOff>
      <xdr:row>17</xdr:row>
      <xdr:rowOff>167640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40</xdr:col>
      <xdr:colOff>0</xdr:colOff>
      <xdr:row>19</xdr:row>
      <xdr:rowOff>0</xdr:rowOff>
    </xdr:from>
    <xdr:to>
      <xdr:col>52</xdr:col>
      <xdr:colOff>45720</xdr:colOff>
      <xdr:row>33</xdr:row>
      <xdr:rowOff>76200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40</xdr:col>
      <xdr:colOff>15240</xdr:colOff>
      <xdr:row>35</xdr:row>
      <xdr:rowOff>0</xdr:rowOff>
    </xdr:from>
    <xdr:to>
      <xdr:col>51</xdr:col>
      <xdr:colOff>464820</xdr:colOff>
      <xdr:row>51</xdr:row>
      <xdr:rowOff>15240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12</xdr:col>
      <xdr:colOff>295470</xdr:colOff>
      <xdr:row>3</xdr:row>
      <xdr:rowOff>7775</xdr:rowOff>
    </xdr:from>
    <xdr:to>
      <xdr:col>22</xdr:col>
      <xdr:colOff>186611</xdr:colOff>
      <xdr:row>17</xdr:row>
      <xdr:rowOff>138404</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xdr:colOff>
      <xdr:row>17</xdr:row>
      <xdr:rowOff>171063</xdr:rowOff>
    </xdr:from>
    <xdr:to>
      <xdr:col>6</xdr:col>
      <xdr:colOff>457201</xdr:colOff>
      <xdr:row>32</xdr:row>
      <xdr:rowOff>115079</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15550</xdr:colOff>
      <xdr:row>3</xdr:row>
      <xdr:rowOff>15551</xdr:rowOff>
    </xdr:from>
    <xdr:to>
      <xdr:col>12</xdr:col>
      <xdr:colOff>287693</xdr:colOff>
      <xdr:row>17</xdr:row>
      <xdr:rowOff>146180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526404</xdr:colOff>
      <xdr:row>17</xdr:row>
      <xdr:rowOff>169352</xdr:rowOff>
    </xdr:from>
    <xdr:to>
      <xdr:col>18</xdr:col>
      <xdr:colOff>350520</xdr:colOff>
      <xdr:row>32</xdr:row>
      <xdr:rowOff>113368</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18</xdr:col>
      <xdr:colOff>431852</xdr:colOff>
      <xdr:row>18</xdr:row>
      <xdr:rowOff>12131</xdr:rowOff>
    </xdr:from>
    <xdr:to>
      <xdr:col>21</xdr:col>
      <xdr:colOff>441183</xdr:colOff>
      <xdr:row>31</xdr:row>
      <xdr:rowOff>53146</xdr:rowOff>
    </xdr:to>
    <mc:AlternateContent xmlns:mc="http://schemas.openxmlformats.org/markup-compatibility/2006">
      <mc:Choice xmlns:a14="http://schemas.microsoft.com/office/drawing/2010/main" Requires="a14">
        <xdr:graphicFrame macro="">
          <xdr:nvGraphicFramePr>
            <xdr:cNvPr id="4"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2212372" y="3303971"/>
              <a:ext cx="1838131" cy="24184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PR_2.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PR_2.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r:id="rId1" refreshedBy="DELL" refreshedDate="46107.611373958331" createdVersion="6" refreshedVersion="6" minRefreshableVersion="3" recordCount="200">
  <cacheSource type="worksheet">
    <worksheetSource name="Table1" r:id="rId2"/>
  </cacheSource>
  <cacheFields count="10">
    <cacheField name="Customer_ID" numFmtId="0">
      <sharedItems/>
    </cacheField>
    <cacheField name="Customer_Name" numFmtId="0">
      <sharedItems count="27">
        <s v="James Davis"/>
        <s v="Robert Anderson"/>
        <s v="James Taylor"/>
        <s v="James Wilson"/>
        <s v="Michael Anderson"/>
        <s v="Linda Wilson"/>
        <s v="Mary Davis"/>
        <s v="Linda Jackson"/>
        <s v="David Thomas"/>
        <s v="Emma Davis"/>
        <s v="David Smith"/>
        <s v="Sarah Anderson"/>
        <s v="Lisa Thomas"/>
        <s v="Mary Jackson"/>
        <s v="Lisa Davis"/>
        <s v="Linda Brown"/>
        <s v="John Brown"/>
        <s v="Linda Taylor"/>
        <s v="David Brown"/>
        <s v="David Davis"/>
        <s v="Mary Wilson"/>
        <s v="Emma Wilson"/>
        <s v="Linda Davis"/>
        <s v="Sarah Davis"/>
        <s v="Emma Taylor"/>
        <s v="Linda Moore"/>
        <s v="David Anderson"/>
      </sharedItems>
    </cacheField>
    <cacheField name="Region" numFmtId="0">
      <sharedItems count="5">
        <s v="West"/>
        <s v="East"/>
        <s v="South"/>
        <s v="North"/>
        <s v="Central"/>
      </sharedItems>
    </cacheField>
    <cacheField name="Product_Category" numFmtId="0">
      <sharedItems count="5">
        <s v="Books"/>
        <s v="Clothing"/>
        <s v="Electronics"/>
        <s v="Furniture"/>
        <s v="Office Supplies"/>
      </sharedItems>
    </cacheField>
    <cacheField name="Sales" numFmtId="0">
      <sharedItems containsSemiMixedTypes="0" containsString="0" containsNumber="1" minValue="258.51" maxValue="1923.66" count="200">
        <n v="1036.0899999999999"/>
        <n v="1101.28"/>
        <n v="713.34"/>
        <n v="760.93"/>
        <n v="847"/>
        <n v="965.64"/>
        <n v="1317.53"/>
        <n v="1074.47"/>
        <n v="501.54"/>
        <n v="737.31"/>
        <n v="1572.82"/>
        <n v="1343.13"/>
        <n v="1191.58"/>
        <n v="822.28"/>
        <n v="521.66999999999996"/>
        <n v="1502.93"/>
        <n v="877.58"/>
        <n v="636.70000000000005"/>
        <n v="1506.14"/>
        <n v="645.02"/>
        <n v="953.3"/>
        <n v="388.56"/>
        <n v="743.17"/>
        <n v="706.37"/>
        <n v="925.31"/>
        <n v="1173.1199999999999"/>
        <n v="675.54"/>
        <n v="939.09"/>
        <n v="983.34"/>
        <n v="801.21"/>
        <n v="1450.71"/>
        <n v="1023.21"/>
        <n v="853.72"/>
        <n v="967.89"/>
        <n v="1200.9000000000001"/>
        <n v="472.38"/>
        <n v="840.92"/>
        <n v="1410.06"/>
        <n v="773.09"/>
        <n v="580.42999999999995"/>
        <n v="1151.21"/>
        <n v="1025.98"/>
        <n v="556.41999999999996"/>
        <n v="840.85"/>
        <n v="1227.25"/>
        <n v="856.7"/>
        <n v="1225.42"/>
        <n v="1001.57"/>
        <n v="1186.8499999999999"/>
        <n v="775.45"/>
        <n v="1021.47"/>
        <n v="1226.6199999999999"/>
        <n v="1086.93"/>
        <n v="942.9"/>
        <n v="818.8"/>
        <n v="919.04"/>
        <n v="973.26"/>
        <n v="741.61"/>
        <n v="1248.82"/>
        <n v="1360.36"/>
        <n v="1383.3"/>
        <n v="488.99"/>
        <n v="933.71"/>
        <n v="1005.53"/>
        <n v="1100.0999999999999"/>
        <n v="1034.7"/>
        <n v="876.44"/>
        <n v="1371.34"/>
        <n v="1020.26"/>
        <n v="804.81"/>
        <n v="608.66"/>
        <n v="981.2"/>
        <n v="539.77"/>
        <n v="804.45"/>
        <n v="1526.6"/>
        <n v="1215.26"/>
        <n v="1261.3399999999999"/>
        <n v="518.07000000000005"/>
        <n v="1111.3399999999999"/>
        <n v="1291.47"/>
        <n v="679.71"/>
        <n v="1143.69"/>
        <n v="790.08"/>
        <n v="1070.68"/>
        <n v="1168.8900000000001"/>
        <n v="1335.87"/>
        <n v="873.7"/>
        <n v="1443.98"/>
        <n v="1154.33"/>
        <n v="1264.49"/>
        <n v="1101.55"/>
        <n v="727.73"/>
        <n v="875.41"/>
        <n v="1158.94"/>
        <n v="966.3"/>
        <n v="917.48"/>
        <n v="1172.97"/>
        <n v="1205.82"/>
        <n v="826.93"/>
        <n v="902.19"/>
        <n v="585.97"/>
        <n v="990.19"/>
        <n v="1014.09"/>
        <n v="925.29"/>
        <n v="1286.54"/>
        <n v="961.62"/>
        <n v="1081.1400000000001"/>
        <n v="1923.66"/>
        <n v="728.71"/>
        <n v="1301.8900000000001"/>
        <n v="980.18"/>
        <n v="697.57"/>
        <n v="1193.6099999999999"/>
        <n v="771.02"/>
        <n v="661.09"/>
        <n v="688.83"/>
        <n v="1249.0999999999999"/>
        <n v="1014.22"/>
        <n v="1010.58"/>
        <n v="957.29"/>
        <n v="1077.92"/>
        <n v="1163.01"/>
        <n v="1014.56"/>
        <n v="718.04"/>
        <n v="1277.8499999999999"/>
        <n v="706.73"/>
        <n v="1410.59"/>
        <n v="1350.33"/>
        <n v="919.18"/>
        <n v="258.51"/>
        <n v="1213.48"/>
        <n v="1150.28"/>
        <n v="853.86"/>
        <n v="1061.04"/>
        <n v="894.55"/>
        <n v="833.91"/>
        <n v="820.19"/>
        <n v="511.74"/>
        <n v="806.03"/>
        <n v="1432.47"/>
        <n v="1488.58"/>
        <n v="1231.26"/>
        <n v="1161.67"/>
        <n v="388.23"/>
        <n v="1589.42"/>
        <n v="336.66"/>
        <n v="1353.79"/>
        <n v="662.61"/>
        <n v="309.42"/>
        <n v="884.63"/>
        <n v="745.05"/>
        <n v="870.23"/>
        <n v="862.19"/>
        <n v="1171.18"/>
        <n v="1054.56"/>
        <n v="1681.21"/>
        <n v="379.77"/>
        <n v="1076.33"/>
        <n v="1250.71"/>
        <n v="1118.3399999999999"/>
        <n v="1622.62"/>
        <n v="640.64"/>
        <n v="585.16"/>
        <n v="1109.98"/>
        <n v="1098.08"/>
        <n v="827.25"/>
        <n v="741.88"/>
        <n v="1311.26"/>
        <n v="573.32000000000005"/>
        <n v="1115.22"/>
        <n v="845.84"/>
        <n v="1029.8"/>
        <n v="1189.83"/>
        <n v="704.28"/>
        <n v="1618.22"/>
        <n v="1014.43"/>
        <n v="826.97"/>
        <n v="1022.23"/>
        <n v="1099.69"/>
        <n v="710.52"/>
        <n v="499.18"/>
        <n v="1064.19"/>
        <n v="438.76"/>
        <n v="864.98"/>
        <n v="984.93"/>
        <n v="1493.49"/>
        <n v="689.43"/>
        <n v="682.24"/>
        <n v="458.54"/>
        <n v="1184.25"/>
        <n v="762.14"/>
        <n v="750.71"/>
        <n v="1456.94"/>
        <n v="1093.3800000000001"/>
        <n v="934.27"/>
        <n v="1465.35"/>
        <n v="740.8"/>
        <n v="545.44000000000005"/>
        <n v="997.61"/>
        <n v="928.32"/>
      </sharedItems>
    </cacheField>
    <cacheField name="Quantity" numFmtId="0">
      <sharedItems containsSemiMixedTypes="0" containsString="0" containsNumber="1" containsInteger="1" minValue="1" maxValue="19"/>
    </cacheField>
    <cacheField name="Discount" numFmtId="0">
      <sharedItems containsSemiMixedTypes="0" containsString="0" containsNumber="1" minValue="0" maxValue="0.2"/>
    </cacheField>
    <cacheField name="Order_Date" numFmtId="14">
      <sharedItems containsSemiMixedTypes="0" containsNonDate="0" containsDate="1" containsString="0" minDate="2024-04-10T00:00:00" maxDate="2025-04-08T00:00:00"/>
    </cacheField>
    <cacheField name="Profit" numFmtId="0">
      <sharedItems containsSemiMixedTypes="0" containsString="0" containsNumber="1" minValue="64.63" maxValue="769.46"/>
    </cacheField>
    <cacheField name="month" numFmtId="0">
      <sharedItems count="12">
        <s v="April"/>
        <s v="May"/>
        <s v="June"/>
        <s v="July"/>
        <s v="August"/>
        <s v="September"/>
        <s v="October"/>
        <s v="November"/>
        <s v="December"/>
        <s v="January"/>
        <s v="February"/>
        <s v="March"/>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DELL" refreshedDate="46107.542107175927" createdVersion="6" refreshedVersion="6" minRefreshableVersion="3" recordCount="200">
  <cacheSource type="worksheet">
    <worksheetSource name="Table1[[Customer_Name]:[Profit]]" r:id="rId2"/>
  </cacheSource>
  <cacheFields count="8">
    <cacheField name="Customer_Name" numFmtId="0">
      <sharedItems count="27">
        <s v="James Davis"/>
        <s v="Robert Anderson"/>
        <s v="James Taylor"/>
        <s v="James Wilson"/>
        <s v="Michael Anderson"/>
        <s v="Linda Wilson"/>
        <s v="Mary Davis"/>
        <s v="Linda Jackson"/>
        <s v="David Thomas"/>
        <s v="Emma Davis"/>
        <s v="David Smith"/>
        <s v="Sarah Anderson"/>
        <s v="Lisa Thomas"/>
        <s v="Mary Jackson"/>
        <s v="Lisa Davis"/>
        <s v="Linda Brown"/>
        <s v="John Brown"/>
        <s v="Linda Taylor"/>
        <s v="David Brown"/>
        <s v="David Davis"/>
        <s v="Mary Wilson"/>
        <s v="Emma Wilson"/>
        <s v="Linda Davis"/>
        <s v="Sarah Davis"/>
        <s v="Emma Taylor"/>
        <s v="Linda Moore"/>
        <s v="David Anderson"/>
      </sharedItems>
    </cacheField>
    <cacheField name="Region" numFmtId="0">
      <sharedItems/>
    </cacheField>
    <cacheField name="Product_Category" numFmtId="0">
      <sharedItems/>
    </cacheField>
    <cacheField name="Sales" numFmtId="0">
      <sharedItems containsSemiMixedTypes="0" containsString="0" containsNumber="1" minValue="258.51" maxValue="1923.66"/>
    </cacheField>
    <cacheField name="Quantity" numFmtId="0">
      <sharedItems containsSemiMixedTypes="0" containsString="0" containsNumber="1" containsInteger="1" minValue="1" maxValue="19"/>
    </cacheField>
    <cacheField name="Discount" numFmtId="0">
      <sharedItems containsSemiMixedTypes="0" containsString="0" containsNumber="1" minValue="0" maxValue="0.2"/>
    </cacheField>
    <cacheField name="Order_Date" numFmtId="14">
      <sharedItems containsSemiMixedTypes="0" containsNonDate="0" containsDate="1" containsString="0" minDate="2024-04-10T00:00:00" maxDate="2025-04-08T00:00:00"/>
    </cacheField>
    <cacheField name="Profit" numFmtId="0">
      <sharedItems containsSemiMixedTypes="0" containsString="0" containsNumber="1" minValue="64.63" maxValue="769.46"/>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r:id="rId1" refreshedBy="DELL" refreshedDate="46107.627121412035" createdVersion="6" refreshedVersion="6" minRefreshableVersion="3" recordCount="200">
  <cacheSource type="worksheet">
    <worksheetSource name="Table1"/>
  </cacheSource>
  <cacheFields count="10">
    <cacheField name="Customer_ID" numFmtId="0">
      <sharedItems/>
    </cacheField>
    <cacheField name="Customer_Name" numFmtId="0">
      <sharedItems count="27">
        <s v="James Davis"/>
        <s v="Robert Anderson"/>
        <s v="James Taylor"/>
        <s v="James Wilson"/>
        <s v="Michael Anderson"/>
        <s v="Linda Wilson"/>
        <s v="Mary Davis"/>
        <s v="Linda Jackson"/>
        <s v="David Thomas"/>
        <s v="Emma Davis"/>
        <s v="David Smith"/>
        <s v="Sarah Anderson"/>
        <s v="Lisa Thomas"/>
        <s v="Mary Jackson"/>
        <s v="Lisa Davis"/>
        <s v="Linda Brown"/>
        <s v="John Brown"/>
        <s v="Linda Taylor"/>
        <s v="David Brown"/>
        <s v="David Davis"/>
        <s v="Mary Wilson"/>
        <s v="Emma Wilson"/>
        <s v="Linda Davis"/>
        <s v="Sarah Davis"/>
        <s v="Emma Taylor"/>
        <s v="Linda Moore"/>
        <s v="David Anderson"/>
      </sharedItems>
    </cacheField>
    <cacheField name="Region" numFmtId="0">
      <sharedItems count="5">
        <s v="West"/>
        <s v="East"/>
        <s v="South"/>
        <s v="North"/>
        <s v="Central"/>
      </sharedItems>
    </cacheField>
    <cacheField name="Product_Category" numFmtId="0">
      <sharedItems count="5">
        <s v="Books"/>
        <s v="Clothing"/>
        <s v="Electronics"/>
        <s v="Furniture"/>
        <s v="Office Supplies"/>
      </sharedItems>
    </cacheField>
    <cacheField name="Sales" numFmtId="0">
      <sharedItems containsSemiMixedTypes="0" containsString="0" containsNumber="1" minValue="258.51" maxValue="1923.66"/>
    </cacheField>
    <cacheField name="Quantity" numFmtId="0">
      <sharedItems containsSemiMixedTypes="0" containsString="0" containsNumber="1" containsInteger="1" minValue="1" maxValue="19"/>
    </cacheField>
    <cacheField name="Discount" numFmtId="0">
      <sharedItems containsSemiMixedTypes="0" containsString="0" containsNumber="1" minValue="0" maxValue="0.2"/>
    </cacheField>
    <cacheField name="Order_Date" numFmtId="14">
      <sharedItems containsSemiMixedTypes="0" containsNonDate="0" containsDate="1" containsString="0" minDate="2024-04-10T00:00:00" maxDate="2025-04-08T00:00:00"/>
    </cacheField>
    <cacheField name="Profit" numFmtId="0">
      <sharedItems containsSemiMixedTypes="0" containsString="0" containsNumber="1" minValue="64.63" maxValue="769.46"/>
    </cacheField>
    <cacheField name="month" numFmtId="0">
      <sharedItems count="12">
        <s v="April"/>
        <s v="May"/>
        <s v="June"/>
        <s v="July"/>
        <s v="August"/>
        <s v="September"/>
        <s v="October"/>
        <s v="November"/>
        <s v="December"/>
        <s v="January"/>
        <s v="February"/>
        <s v="March"/>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00">
  <r>
    <s v="CUST019"/>
    <x v="0"/>
    <x v="0"/>
    <x v="0"/>
    <x v="0"/>
    <n v="4"/>
    <n v="0.2"/>
    <d v="2024-04-10T00:00:00"/>
    <n v="331.55"/>
    <x v="0"/>
  </r>
  <r>
    <s v="CUST012"/>
    <x v="1"/>
    <x v="0"/>
    <x v="1"/>
    <x v="1"/>
    <n v="3"/>
    <n v="0.2"/>
    <d v="2024-04-11T00:00:00"/>
    <n v="440.51"/>
    <x v="0"/>
  </r>
  <r>
    <s v="CUST017"/>
    <x v="2"/>
    <x v="1"/>
    <x v="0"/>
    <x v="2"/>
    <n v="17"/>
    <n v="0"/>
    <d v="2024-04-14T00:00:00"/>
    <n v="285.33999999999997"/>
    <x v="0"/>
  </r>
  <r>
    <s v="CUST005"/>
    <x v="1"/>
    <x v="2"/>
    <x v="2"/>
    <x v="3"/>
    <n v="4"/>
    <n v="0.15"/>
    <d v="2024-04-14T00:00:00"/>
    <n v="161.69999999999999"/>
    <x v="0"/>
  </r>
  <r>
    <s v="CUST030"/>
    <x v="3"/>
    <x v="3"/>
    <x v="0"/>
    <x v="4"/>
    <n v="12"/>
    <n v="0.2"/>
    <d v="2024-04-15T00:00:00"/>
    <n v="271.04000000000002"/>
    <x v="0"/>
  </r>
  <r>
    <s v="CUST007"/>
    <x v="4"/>
    <x v="3"/>
    <x v="3"/>
    <x v="5"/>
    <n v="8"/>
    <n v="0.1"/>
    <d v="2024-04-16T00:00:00"/>
    <n v="304.18"/>
    <x v="0"/>
  </r>
  <r>
    <s v="CUST001"/>
    <x v="5"/>
    <x v="0"/>
    <x v="2"/>
    <x v="6"/>
    <n v="12"/>
    <n v="0.05"/>
    <d v="2024-04-16T00:00:00"/>
    <n v="312.91000000000003"/>
    <x v="0"/>
  </r>
  <r>
    <s v="CUST026"/>
    <x v="6"/>
    <x v="1"/>
    <x v="3"/>
    <x v="7"/>
    <n v="6"/>
    <n v="0.2"/>
    <d v="2024-04-19T00:00:00"/>
    <n v="300.85000000000002"/>
    <x v="0"/>
  </r>
  <r>
    <s v="CUST009"/>
    <x v="7"/>
    <x v="4"/>
    <x v="0"/>
    <x v="8"/>
    <n v="11"/>
    <n v="0.05"/>
    <d v="2024-04-19T00:00:00"/>
    <n v="190.59"/>
    <x v="0"/>
  </r>
  <r>
    <s v="CUST010"/>
    <x v="8"/>
    <x v="4"/>
    <x v="1"/>
    <x v="9"/>
    <n v="2"/>
    <n v="0.05"/>
    <d v="2024-04-19T00:00:00"/>
    <n v="350.22"/>
    <x v="0"/>
  </r>
  <r>
    <s v="CUST014"/>
    <x v="9"/>
    <x v="0"/>
    <x v="4"/>
    <x v="10"/>
    <n v="6"/>
    <n v="0.05"/>
    <d v="2024-04-20T00:00:00"/>
    <n v="672.38"/>
    <x v="0"/>
  </r>
  <r>
    <s v="CUST014"/>
    <x v="8"/>
    <x v="4"/>
    <x v="0"/>
    <x v="11"/>
    <n v="14"/>
    <n v="0.15"/>
    <d v="2024-04-22T00:00:00"/>
    <n v="456.66"/>
    <x v="0"/>
  </r>
  <r>
    <s v="CUST007"/>
    <x v="4"/>
    <x v="4"/>
    <x v="0"/>
    <x v="12"/>
    <n v="14"/>
    <n v="0.05"/>
    <d v="2024-04-24T00:00:00"/>
    <n v="452.8"/>
    <x v="0"/>
  </r>
  <r>
    <s v="CUST023"/>
    <x v="1"/>
    <x v="0"/>
    <x v="3"/>
    <x v="13"/>
    <n v="7"/>
    <n v="0.05"/>
    <d v="2024-04-24T00:00:00"/>
    <n v="273.41000000000003"/>
    <x v="0"/>
  </r>
  <r>
    <s v="CUST029"/>
    <x v="10"/>
    <x v="3"/>
    <x v="3"/>
    <x v="14"/>
    <n v="15"/>
    <n v="0.15"/>
    <d v="2024-04-27T00:00:00"/>
    <n v="155.19999999999999"/>
    <x v="0"/>
  </r>
  <r>
    <s v="CUST005"/>
    <x v="11"/>
    <x v="2"/>
    <x v="2"/>
    <x v="15"/>
    <n v="14"/>
    <n v="0.2"/>
    <d v="2024-04-28T00:00:00"/>
    <n v="300.58999999999997"/>
    <x v="0"/>
  </r>
  <r>
    <s v="CUST008"/>
    <x v="1"/>
    <x v="2"/>
    <x v="0"/>
    <x v="16"/>
    <n v="10"/>
    <n v="0.15"/>
    <d v="2024-04-29T00:00:00"/>
    <n v="298.38"/>
    <x v="0"/>
  </r>
  <r>
    <s v="CUST001"/>
    <x v="12"/>
    <x v="0"/>
    <x v="0"/>
    <x v="17"/>
    <n v="4"/>
    <n v="0.2"/>
    <d v="2024-04-29T00:00:00"/>
    <n v="203.74"/>
    <x v="0"/>
  </r>
  <r>
    <s v="CUST006"/>
    <x v="13"/>
    <x v="0"/>
    <x v="0"/>
    <x v="18"/>
    <n v="13"/>
    <n v="0.2"/>
    <d v="2024-04-30T00:00:00"/>
    <n v="481.96"/>
    <x v="0"/>
  </r>
  <r>
    <s v="CUST026"/>
    <x v="6"/>
    <x v="4"/>
    <x v="2"/>
    <x v="19"/>
    <n v="4"/>
    <n v="0"/>
    <d v="2024-05-02T00:00:00"/>
    <n v="161.26"/>
    <x v="1"/>
  </r>
  <r>
    <s v="CUST007"/>
    <x v="14"/>
    <x v="2"/>
    <x v="1"/>
    <x v="20"/>
    <n v="11"/>
    <n v="0"/>
    <d v="2024-05-03T00:00:00"/>
    <n v="476.65"/>
    <x v="1"/>
  </r>
  <r>
    <s v="CUST022"/>
    <x v="1"/>
    <x v="3"/>
    <x v="2"/>
    <x v="21"/>
    <n v="14"/>
    <n v="0.15"/>
    <d v="2024-05-04T00:00:00"/>
    <n v="82.57"/>
    <x v="1"/>
  </r>
  <r>
    <s v="CUST019"/>
    <x v="6"/>
    <x v="0"/>
    <x v="0"/>
    <x v="22"/>
    <n v="9"/>
    <n v="0"/>
    <d v="2024-05-04T00:00:00"/>
    <n v="297.27"/>
    <x v="1"/>
  </r>
  <r>
    <s v="CUST023"/>
    <x v="6"/>
    <x v="4"/>
    <x v="2"/>
    <x v="23"/>
    <n v="6"/>
    <n v="0"/>
    <d v="2024-05-04T00:00:00"/>
    <n v="176.59"/>
    <x v="1"/>
  </r>
  <r>
    <s v="CUST012"/>
    <x v="6"/>
    <x v="4"/>
    <x v="4"/>
    <x v="24"/>
    <n v="8"/>
    <n v="0.1"/>
    <d v="2024-05-06T00:00:00"/>
    <n v="374.75"/>
    <x v="1"/>
  </r>
  <r>
    <s v="CUST010"/>
    <x v="15"/>
    <x v="2"/>
    <x v="2"/>
    <x v="25"/>
    <n v="18"/>
    <n v="0"/>
    <d v="2024-05-06T00:00:00"/>
    <n v="293.27999999999997"/>
    <x v="1"/>
  </r>
  <r>
    <s v="CUST030"/>
    <x v="16"/>
    <x v="3"/>
    <x v="3"/>
    <x v="26"/>
    <n v="17"/>
    <n v="0"/>
    <d v="2024-05-08T00:00:00"/>
    <n v="236.44"/>
    <x v="1"/>
  </r>
  <r>
    <s v="CUST007"/>
    <x v="1"/>
    <x v="4"/>
    <x v="0"/>
    <x v="27"/>
    <n v="2"/>
    <n v="0.05"/>
    <d v="2024-05-10T00:00:00"/>
    <n v="356.85"/>
    <x v="1"/>
  </r>
  <r>
    <s v="CUST028"/>
    <x v="17"/>
    <x v="1"/>
    <x v="4"/>
    <x v="28"/>
    <n v="19"/>
    <n v="0.1"/>
    <d v="2024-05-14T00:00:00"/>
    <n v="398.25"/>
    <x v="1"/>
  </r>
  <r>
    <s v="CUST028"/>
    <x v="3"/>
    <x v="2"/>
    <x v="2"/>
    <x v="29"/>
    <n v="3"/>
    <n v="0.2"/>
    <d v="2024-05-14T00:00:00"/>
    <n v="160.24"/>
    <x v="1"/>
  </r>
  <r>
    <s v="CUST025"/>
    <x v="18"/>
    <x v="3"/>
    <x v="2"/>
    <x v="30"/>
    <n v="5"/>
    <n v="0.1"/>
    <d v="2024-05-15T00:00:00"/>
    <n v="326.41000000000003"/>
    <x v="1"/>
  </r>
  <r>
    <s v="CUST022"/>
    <x v="19"/>
    <x v="4"/>
    <x v="0"/>
    <x v="31"/>
    <n v="18"/>
    <n v="0.05"/>
    <d v="2024-05-16T00:00:00"/>
    <n v="388.82"/>
    <x v="1"/>
  </r>
  <r>
    <s v="CUST001"/>
    <x v="13"/>
    <x v="0"/>
    <x v="3"/>
    <x v="32"/>
    <n v="5"/>
    <n v="0.15"/>
    <d v="2024-05-16T00:00:00"/>
    <n v="253.98"/>
    <x v="1"/>
  </r>
  <r>
    <s v="CUST021"/>
    <x v="11"/>
    <x v="2"/>
    <x v="2"/>
    <x v="33"/>
    <n v="10"/>
    <n v="0.1"/>
    <d v="2024-05-17T00:00:00"/>
    <n v="217.78"/>
    <x v="1"/>
  </r>
  <r>
    <s v="CUST015"/>
    <x v="17"/>
    <x v="3"/>
    <x v="4"/>
    <x v="34"/>
    <n v="14"/>
    <n v="0.05"/>
    <d v="2024-05-17T00:00:00"/>
    <n v="513.38"/>
    <x v="1"/>
  </r>
  <r>
    <s v="CUST012"/>
    <x v="4"/>
    <x v="0"/>
    <x v="0"/>
    <x v="35"/>
    <n v="12"/>
    <n v="0.2"/>
    <d v="2024-05-17T00:00:00"/>
    <n v="151.16"/>
    <x v="1"/>
  </r>
  <r>
    <s v="CUST019"/>
    <x v="18"/>
    <x v="1"/>
    <x v="4"/>
    <x v="36"/>
    <n v="9"/>
    <n v="0.05"/>
    <d v="2024-05-17T00:00:00"/>
    <n v="359.49"/>
    <x v="1"/>
  </r>
  <r>
    <s v="CUST028"/>
    <x v="14"/>
    <x v="4"/>
    <x v="3"/>
    <x v="37"/>
    <n v="11"/>
    <n v="0.05"/>
    <d v="2024-05-22T00:00:00"/>
    <n v="468.84"/>
    <x v="1"/>
  </r>
  <r>
    <s v="CUST008"/>
    <x v="20"/>
    <x v="4"/>
    <x v="3"/>
    <x v="38"/>
    <n v="13"/>
    <n v="0.15"/>
    <d v="2024-05-22T00:00:00"/>
    <n v="229.99"/>
    <x v="1"/>
  </r>
  <r>
    <s v="CUST016"/>
    <x v="21"/>
    <x v="1"/>
    <x v="0"/>
    <x v="39"/>
    <n v="19"/>
    <n v="0.15"/>
    <d v="2024-05-23T00:00:00"/>
    <n v="197.35"/>
    <x v="1"/>
  </r>
  <r>
    <s v="CUST005"/>
    <x v="10"/>
    <x v="2"/>
    <x v="0"/>
    <x v="40"/>
    <n v="15"/>
    <n v="0.1"/>
    <d v="2024-06-02T00:00:00"/>
    <n v="414.44"/>
    <x v="2"/>
  </r>
  <r>
    <s v="CUST028"/>
    <x v="3"/>
    <x v="4"/>
    <x v="4"/>
    <x v="41"/>
    <n v="5"/>
    <n v="0.2"/>
    <d v="2024-06-04T00:00:00"/>
    <n v="369.35"/>
    <x v="2"/>
  </r>
  <r>
    <s v="CUST023"/>
    <x v="19"/>
    <x v="1"/>
    <x v="4"/>
    <x v="42"/>
    <n v="11"/>
    <n v="0.15"/>
    <d v="2024-06-04T00:00:00"/>
    <n v="212.83"/>
    <x v="2"/>
  </r>
  <r>
    <s v="CUST021"/>
    <x v="3"/>
    <x v="4"/>
    <x v="0"/>
    <x v="43"/>
    <n v="19"/>
    <n v="0.1"/>
    <d v="2024-06-05T00:00:00"/>
    <n v="302.70999999999998"/>
    <x v="2"/>
  </r>
  <r>
    <s v="CUST026"/>
    <x v="21"/>
    <x v="3"/>
    <x v="3"/>
    <x v="44"/>
    <n v="12"/>
    <n v="0.15"/>
    <d v="2024-06-05T00:00:00"/>
    <n v="365.11"/>
    <x v="2"/>
  </r>
  <r>
    <s v="CUST017"/>
    <x v="22"/>
    <x v="4"/>
    <x v="2"/>
    <x v="45"/>
    <n v="2"/>
    <n v="0"/>
    <d v="2024-06-06T00:00:00"/>
    <n v="214.18"/>
    <x v="2"/>
  </r>
  <r>
    <s v="CUST025"/>
    <x v="19"/>
    <x v="4"/>
    <x v="4"/>
    <x v="46"/>
    <n v="8"/>
    <n v="0.15"/>
    <d v="2024-06-06T00:00:00"/>
    <n v="468.72"/>
    <x v="2"/>
  </r>
  <r>
    <s v="CUST011"/>
    <x v="6"/>
    <x v="3"/>
    <x v="4"/>
    <x v="47"/>
    <n v="12"/>
    <n v="0"/>
    <d v="2024-06-07T00:00:00"/>
    <n v="450.71"/>
    <x v="2"/>
  </r>
  <r>
    <s v="CUST021"/>
    <x v="4"/>
    <x v="1"/>
    <x v="3"/>
    <x v="48"/>
    <n v="19"/>
    <n v="0.2"/>
    <d v="2024-06-08T00:00:00"/>
    <n v="332.32"/>
    <x v="2"/>
  </r>
  <r>
    <s v="CUST008"/>
    <x v="16"/>
    <x v="2"/>
    <x v="2"/>
    <x v="49"/>
    <n v="6"/>
    <n v="0.1"/>
    <d v="2024-06-14T00:00:00"/>
    <n v="174.48"/>
    <x v="2"/>
  </r>
  <r>
    <s v="CUST007"/>
    <x v="7"/>
    <x v="2"/>
    <x v="2"/>
    <x v="50"/>
    <n v="6"/>
    <n v="0.05"/>
    <d v="2024-06-18T00:00:00"/>
    <n v="242.6"/>
    <x v="2"/>
  </r>
  <r>
    <s v="CUST015"/>
    <x v="3"/>
    <x v="2"/>
    <x v="1"/>
    <x v="51"/>
    <n v="7"/>
    <n v="0.1"/>
    <d v="2024-06-20T00:00:00"/>
    <n v="551.98"/>
    <x v="2"/>
  </r>
  <r>
    <s v="CUST030"/>
    <x v="23"/>
    <x v="2"/>
    <x v="3"/>
    <x v="52"/>
    <n v="2"/>
    <n v="0"/>
    <d v="2024-06-21T00:00:00"/>
    <n v="380.43"/>
    <x v="2"/>
  </r>
  <r>
    <s v="CUST002"/>
    <x v="14"/>
    <x v="0"/>
    <x v="0"/>
    <x v="53"/>
    <n v="18"/>
    <n v="0.1"/>
    <d v="2024-06-23T00:00:00"/>
    <n v="339.44"/>
    <x v="2"/>
  </r>
  <r>
    <s v="CUST009"/>
    <x v="9"/>
    <x v="3"/>
    <x v="2"/>
    <x v="54"/>
    <n v="15"/>
    <n v="0.15"/>
    <d v="2024-06-25T00:00:00"/>
    <n v="173.99"/>
    <x v="2"/>
  </r>
  <r>
    <s v="CUST005"/>
    <x v="1"/>
    <x v="2"/>
    <x v="3"/>
    <x v="55"/>
    <n v="10"/>
    <n v="0.2"/>
    <d v="2024-06-25T00:00:00"/>
    <n v="257.33"/>
    <x v="2"/>
  </r>
  <r>
    <s v="CUST030"/>
    <x v="24"/>
    <x v="4"/>
    <x v="0"/>
    <x v="56"/>
    <n v="11"/>
    <n v="0"/>
    <d v="2024-06-27T00:00:00"/>
    <n v="389.3"/>
    <x v="2"/>
  </r>
  <r>
    <s v="CUST029"/>
    <x v="23"/>
    <x v="3"/>
    <x v="2"/>
    <x v="57"/>
    <n v="1"/>
    <n v="0.2"/>
    <d v="2024-06-28T00:00:00"/>
    <n v="148.32"/>
    <x v="2"/>
  </r>
  <r>
    <s v="CUST003"/>
    <x v="9"/>
    <x v="3"/>
    <x v="0"/>
    <x v="58"/>
    <n v="2"/>
    <n v="0.1"/>
    <d v="2024-06-30T00:00:00"/>
    <n v="449.58"/>
    <x v="2"/>
  </r>
  <r>
    <s v="CUST012"/>
    <x v="20"/>
    <x v="0"/>
    <x v="1"/>
    <x v="59"/>
    <n v="17"/>
    <n v="0"/>
    <d v="2024-06-30T00:00:00"/>
    <n v="680.18"/>
    <x v="2"/>
  </r>
  <r>
    <s v="CUST021"/>
    <x v="6"/>
    <x v="1"/>
    <x v="0"/>
    <x v="60"/>
    <n v="8"/>
    <n v="0.1"/>
    <d v="2024-07-05T00:00:00"/>
    <n v="497.99"/>
    <x v="3"/>
  </r>
  <r>
    <s v="CUST010"/>
    <x v="18"/>
    <x v="4"/>
    <x v="4"/>
    <x v="61"/>
    <n v="9"/>
    <n v="0"/>
    <d v="2024-07-06T00:00:00"/>
    <n v="220.05"/>
    <x v="3"/>
  </r>
  <r>
    <s v="CUST026"/>
    <x v="6"/>
    <x v="1"/>
    <x v="3"/>
    <x v="62"/>
    <n v="17"/>
    <n v="0.1"/>
    <d v="2024-07-08T00:00:00"/>
    <n v="294.12"/>
    <x v="3"/>
  </r>
  <r>
    <s v="CUST003"/>
    <x v="0"/>
    <x v="0"/>
    <x v="2"/>
    <x v="63"/>
    <n v="17"/>
    <n v="0.2"/>
    <d v="2024-07-08T00:00:00"/>
    <n v="201.11"/>
    <x v="3"/>
  </r>
  <r>
    <s v="CUST029"/>
    <x v="21"/>
    <x v="2"/>
    <x v="2"/>
    <x v="64"/>
    <n v="5"/>
    <n v="0.05"/>
    <d v="2024-07-09T00:00:00"/>
    <n v="261.27"/>
    <x v="3"/>
  </r>
  <r>
    <s v="CUST003"/>
    <x v="3"/>
    <x v="3"/>
    <x v="3"/>
    <x v="65"/>
    <n v="15"/>
    <n v="0.15"/>
    <d v="2024-07-14T00:00:00"/>
    <n v="307.82"/>
    <x v="3"/>
  </r>
  <r>
    <s v="CUST002"/>
    <x v="6"/>
    <x v="2"/>
    <x v="0"/>
    <x v="66"/>
    <n v="12"/>
    <n v="0.05"/>
    <d v="2024-07-15T00:00:00"/>
    <n v="333.05"/>
    <x v="3"/>
  </r>
  <r>
    <s v="CUST020"/>
    <x v="18"/>
    <x v="0"/>
    <x v="3"/>
    <x v="67"/>
    <n v="5"/>
    <n v="0.05"/>
    <d v="2024-07-15T00:00:00"/>
    <n v="455.97"/>
    <x v="3"/>
  </r>
  <r>
    <s v="CUST021"/>
    <x v="13"/>
    <x v="3"/>
    <x v="2"/>
    <x v="68"/>
    <n v="11"/>
    <n v="0.05"/>
    <d v="2024-07-21T00:00:00"/>
    <n v="242.31"/>
    <x v="3"/>
  </r>
  <r>
    <s v="CUST008"/>
    <x v="0"/>
    <x v="4"/>
    <x v="4"/>
    <x v="69"/>
    <n v="1"/>
    <n v="0.05"/>
    <d v="2024-07-29T00:00:00"/>
    <n v="344.06"/>
    <x v="3"/>
  </r>
  <r>
    <s v="CUST030"/>
    <x v="18"/>
    <x v="4"/>
    <x v="2"/>
    <x v="70"/>
    <n v="1"/>
    <n v="0.05"/>
    <d v="2024-07-30T00:00:00"/>
    <n v="144.56"/>
    <x v="3"/>
  </r>
  <r>
    <s v="CUST020"/>
    <x v="25"/>
    <x v="2"/>
    <x v="4"/>
    <x v="71"/>
    <n v="19"/>
    <n v="0"/>
    <d v="2024-07-31T00:00:00"/>
    <n v="441.54"/>
    <x v="3"/>
  </r>
  <r>
    <s v="CUST024"/>
    <x v="18"/>
    <x v="1"/>
    <x v="2"/>
    <x v="72"/>
    <n v="10"/>
    <n v="0.15"/>
    <d v="2024-08-05T00:00:00"/>
    <n v="114.7"/>
    <x v="4"/>
  </r>
  <r>
    <s v="CUST012"/>
    <x v="26"/>
    <x v="2"/>
    <x v="0"/>
    <x v="73"/>
    <n v="5"/>
    <n v="0.2"/>
    <d v="2024-08-05T00:00:00"/>
    <n v="257.42"/>
    <x v="4"/>
  </r>
  <r>
    <s v="CUST024"/>
    <x v="9"/>
    <x v="0"/>
    <x v="2"/>
    <x v="74"/>
    <n v="13"/>
    <n v="0.2"/>
    <d v="2024-08-08T00:00:00"/>
    <n v="305.32"/>
    <x v="4"/>
  </r>
  <r>
    <s v="CUST012"/>
    <x v="5"/>
    <x v="0"/>
    <x v="2"/>
    <x v="75"/>
    <n v="5"/>
    <n v="0.15"/>
    <d v="2024-08-09T00:00:00"/>
    <n v="258.24"/>
    <x v="4"/>
  </r>
  <r>
    <s v="CUST005"/>
    <x v="17"/>
    <x v="4"/>
    <x v="3"/>
    <x v="76"/>
    <n v="3"/>
    <n v="0"/>
    <d v="2024-08-15T00:00:00"/>
    <n v="441.47"/>
    <x v="4"/>
  </r>
  <r>
    <s v="CUST004"/>
    <x v="12"/>
    <x v="3"/>
    <x v="3"/>
    <x v="77"/>
    <n v="7"/>
    <n v="0.05"/>
    <d v="2024-08-18T00:00:00"/>
    <n v="172.26"/>
    <x v="4"/>
  </r>
  <r>
    <s v="CUST026"/>
    <x v="5"/>
    <x v="0"/>
    <x v="4"/>
    <x v="78"/>
    <n v="1"/>
    <n v="0"/>
    <d v="2024-08-19T00:00:00"/>
    <n v="500.1"/>
    <x v="4"/>
  </r>
  <r>
    <s v="CUST030"/>
    <x v="6"/>
    <x v="1"/>
    <x v="1"/>
    <x v="79"/>
    <n v="18"/>
    <n v="0.1"/>
    <d v="2024-08-22T00:00:00"/>
    <n v="581.16"/>
    <x v="4"/>
  </r>
  <r>
    <s v="CUST007"/>
    <x v="18"/>
    <x v="3"/>
    <x v="0"/>
    <x v="80"/>
    <n v="19"/>
    <n v="0"/>
    <d v="2024-08-30T00:00:00"/>
    <n v="271.88"/>
    <x v="4"/>
  </r>
  <r>
    <s v="CUST020"/>
    <x v="7"/>
    <x v="1"/>
    <x v="3"/>
    <x v="81"/>
    <n v="17"/>
    <n v="0"/>
    <d v="2024-08-30T00:00:00"/>
    <n v="400.29"/>
    <x v="4"/>
  </r>
  <r>
    <s v="CUST028"/>
    <x v="15"/>
    <x v="4"/>
    <x v="2"/>
    <x v="82"/>
    <n v="7"/>
    <n v="0.1"/>
    <d v="2024-09-01T00:00:00"/>
    <n v="177.77"/>
    <x v="5"/>
  </r>
  <r>
    <s v="CUST005"/>
    <x v="14"/>
    <x v="4"/>
    <x v="0"/>
    <x v="83"/>
    <n v="7"/>
    <n v="0.05"/>
    <d v="2024-09-01T00:00:00"/>
    <n v="406.86"/>
    <x v="5"/>
  </r>
  <r>
    <s v="CUST015"/>
    <x v="8"/>
    <x v="0"/>
    <x v="1"/>
    <x v="84"/>
    <n v="4"/>
    <n v="0.1"/>
    <d v="2024-09-09T00:00:00"/>
    <n v="526"/>
    <x v="5"/>
  </r>
  <r>
    <s v="CUST003"/>
    <x v="0"/>
    <x v="2"/>
    <x v="2"/>
    <x v="85"/>
    <n v="17"/>
    <n v="0"/>
    <d v="2024-09-09T00:00:00"/>
    <n v="333.97"/>
    <x v="5"/>
  </r>
  <r>
    <s v="CUST023"/>
    <x v="18"/>
    <x v="1"/>
    <x v="3"/>
    <x v="86"/>
    <n v="9"/>
    <n v="0"/>
    <d v="2024-09-11T00:00:00"/>
    <n v="305.8"/>
    <x v="5"/>
  </r>
  <r>
    <s v="CUST004"/>
    <x v="23"/>
    <x v="0"/>
    <x v="4"/>
    <x v="87"/>
    <n v="19"/>
    <n v="0"/>
    <d v="2024-09-12T00:00:00"/>
    <n v="649.79"/>
    <x v="5"/>
  </r>
  <r>
    <s v="CUST023"/>
    <x v="3"/>
    <x v="1"/>
    <x v="4"/>
    <x v="88"/>
    <n v="11"/>
    <n v="0.15"/>
    <d v="2024-09-14T00:00:00"/>
    <n v="441.53"/>
    <x v="5"/>
  </r>
  <r>
    <s v="CUST022"/>
    <x v="15"/>
    <x v="2"/>
    <x v="0"/>
    <x v="89"/>
    <n v="16"/>
    <n v="0.05"/>
    <d v="2024-09-14T00:00:00"/>
    <n v="480.51"/>
    <x v="5"/>
  </r>
  <r>
    <s v="CUST007"/>
    <x v="24"/>
    <x v="0"/>
    <x v="3"/>
    <x v="90"/>
    <n v="4"/>
    <n v="0.1"/>
    <d v="2024-09-16T00:00:00"/>
    <n v="346.99"/>
    <x v="5"/>
  </r>
  <r>
    <s v="CUST013"/>
    <x v="1"/>
    <x v="2"/>
    <x v="3"/>
    <x v="91"/>
    <n v="1"/>
    <n v="0.1"/>
    <d v="2024-09-17T00:00:00"/>
    <n v="229.23"/>
    <x v="5"/>
  </r>
  <r>
    <s v="CUST027"/>
    <x v="9"/>
    <x v="1"/>
    <x v="4"/>
    <x v="92"/>
    <n v="13"/>
    <n v="0.15"/>
    <d v="2024-09-17T00:00:00"/>
    <n v="334.84"/>
    <x v="5"/>
  </r>
  <r>
    <s v="CUST003"/>
    <x v="3"/>
    <x v="0"/>
    <x v="2"/>
    <x v="93"/>
    <n v="19"/>
    <n v="0.2"/>
    <d v="2024-09-18T00:00:00"/>
    <n v="231.79"/>
    <x v="5"/>
  </r>
  <r>
    <s v="CUST018"/>
    <x v="13"/>
    <x v="2"/>
    <x v="0"/>
    <x v="94"/>
    <n v="2"/>
    <n v="0.15"/>
    <d v="2024-09-22T00:00:00"/>
    <n v="328.54"/>
    <x v="5"/>
  </r>
  <r>
    <s v="CUST020"/>
    <x v="2"/>
    <x v="2"/>
    <x v="0"/>
    <x v="95"/>
    <n v="6"/>
    <n v="0"/>
    <d v="2024-09-23T00:00:00"/>
    <n v="366.99"/>
    <x v="5"/>
  </r>
  <r>
    <s v="CUST029"/>
    <x v="21"/>
    <x v="0"/>
    <x v="3"/>
    <x v="96"/>
    <n v="7"/>
    <n v="0.15"/>
    <d v="2024-09-24T00:00:00"/>
    <n v="348.96"/>
    <x v="5"/>
  </r>
  <r>
    <s v="CUST021"/>
    <x v="3"/>
    <x v="3"/>
    <x v="1"/>
    <x v="97"/>
    <n v="11"/>
    <n v="0.1"/>
    <d v="2024-09-24T00:00:00"/>
    <n v="542.62"/>
    <x v="5"/>
  </r>
  <r>
    <s v="CUST017"/>
    <x v="23"/>
    <x v="0"/>
    <x v="4"/>
    <x v="98"/>
    <n v="10"/>
    <n v="0.2"/>
    <d v="2024-09-29T00:00:00"/>
    <n v="297.69"/>
    <x v="5"/>
  </r>
  <r>
    <s v="CUST003"/>
    <x v="3"/>
    <x v="4"/>
    <x v="1"/>
    <x v="99"/>
    <n v="12"/>
    <n v="0"/>
    <d v="2024-09-29T00:00:00"/>
    <n v="451.1"/>
    <x v="5"/>
  </r>
  <r>
    <s v="CUST027"/>
    <x v="9"/>
    <x v="3"/>
    <x v="0"/>
    <x v="100"/>
    <n v="17"/>
    <n v="0.1"/>
    <d v="2024-09-30T00:00:00"/>
    <n v="210.95"/>
    <x v="5"/>
  </r>
  <r>
    <s v="CUST016"/>
    <x v="4"/>
    <x v="3"/>
    <x v="1"/>
    <x v="101"/>
    <n v="8"/>
    <n v="0.1"/>
    <d v="2024-09-30T00:00:00"/>
    <n v="445.59"/>
    <x v="5"/>
  </r>
  <r>
    <s v="CUST008"/>
    <x v="19"/>
    <x v="4"/>
    <x v="2"/>
    <x v="102"/>
    <n v="13"/>
    <n v="0.2"/>
    <d v="2024-10-02T00:00:00"/>
    <n v="202.82"/>
    <x v="6"/>
  </r>
  <r>
    <s v="CUST012"/>
    <x v="14"/>
    <x v="3"/>
    <x v="2"/>
    <x v="103"/>
    <n v="17"/>
    <n v="0"/>
    <d v="2024-10-05T00:00:00"/>
    <n v="231.32"/>
    <x v="6"/>
  </r>
  <r>
    <s v="CUST025"/>
    <x v="13"/>
    <x v="1"/>
    <x v="3"/>
    <x v="104"/>
    <n v="8"/>
    <n v="0"/>
    <d v="2024-10-10T00:00:00"/>
    <n v="450.29"/>
    <x v="6"/>
  </r>
  <r>
    <s v="CUST014"/>
    <x v="23"/>
    <x v="2"/>
    <x v="0"/>
    <x v="105"/>
    <n v="8"/>
    <n v="0.2"/>
    <d v="2024-10-12T00:00:00"/>
    <n v="307.72000000000003"/>
    <x v="6"/>
  </r>
  <r>
    <s v="CUST008"/>
    <x v="3"/>
    <x v="1"/>
    <x v="0"/>
    <x v="106"/>
    <n v="19"/>
    <n v="0.15"/>
    <d v="2024-10-12T00:00:00"/>
    <n v="367.59"/>
    <x v="6"/>
  </r>
  <r>
    <s v="CUST015"/>
    <x v="3"/>
    <x v="0"/>
    <x v="1"/>
    <x v="107"/>
    <n v="9"/>
    <n v="0.2"/>
    <d v="2024-10-15T00:00:00"/>
    <n v="769.46"/>
    <x v="6"/>
  </r>
  <r>
    <s v="CUST025"/>
    <x v="24"/>
    <x v="4"/>
    <x v="1"/>
    <x v="108"/>
    <n v="14"/>
    <n v="0.1"/>
    <d v="2024-10-16T00:00:00"/>
    <n v="327.92"/>
    <x v="6"/>
  </r>
  <r>
    <s v="CUST019"/>
    <x v="7"/>
    <x v="4"/>
    <x v="1"/>
    <x v="109"/>
    <n v="7"/>
    <n v="0.15"/>
    <d v="2024-10-16T00:00:00"/>
    <n v="553.29999999999995"/>
    <x v="6"/>
  </r>
  <r>
    <s v="CUST024"/>
    <x v="24"/>
    <x v="1"/>
    <x v="0"/>
    <x v="110"/>
    <n v="16"/>
    <n v="0.1"/>
    <d v="2024-10-17T00:00:00"/>
    <n v="352.86"/>
    <x v="6"/>
  </r>
  <r>
    <s v="CUST027"/>
    <x v="3"/>
    <x v="0"/>
    <x v="1"/>
    <x v="111"/>
    <n v="17"/>
    <n v="0.1"/>
    <d v="2024-10-19T00:00:00"/>
    <n v="313.91000000000003"/>
    <x v="6"/>
  </r>
  <r>
    <s v="CUST006"/>
    <x v="26"/>
    <x v="0"/>
    <x v="3"/>
    <x v="112"/>
    <n v="1"/>
    <n v="0.15"/>
    <d v="2024-10-19T00:00:00"/>
    <n v="355.1"/>
    <x v="6"/>
  </r>
  <r>
    <s v="CUST009"/>
    <x v="9"/>
    <x v="2"/>
    <x v="2"/>
    <x v="113"/>
    <n v="1"/>
    <n v="0"/>
    <d v="2024-10-20T00:00:00"/>
    <n v="192.76"/>
    <x v="6"/>
  </r>
  <r>
    <s v="CUST003"/>
    <x v="25"/>
    <x v="3"/>
    <x v="1"/>
    <x v="114"/>
    <n v="1"/>
    <n v="0.2"/>
    <d v="2024-10-28T00:00:00"/>
    <n v="264.44"/>
    <x v="6"/>
  </r>
  <r>
    <s v="CUST012"/>
    <x v="18"/>
    <x v="0"/>
    <x v="2"/>
    <x v="115"/>
    <n v="15"/>
    <n v="0"/>
    <d v="2024-10-30T00:00:00"/>
    <n v="172.21"/>
    <x v="6"/>
  </r>
  <r>
    <s v="CUST013"/>
    <x v="5"/>
    <x v="4"/>
    <x v="0"/>
    <x v="116"/>
    <n v="4"/>
    <n v="0.05"/>
    <d v="2024-11-01T00:00:00"/>
    <n v="474.66"/>
    <x v="7"/>
  </r>
  <r>
    <s v="CUST008"/>
    <x v="3"/>
    <x v="1"/>
    <x v="4"/>
    <x v="117"/>
    <n v="14"/>
    <n v="0.05"/>
    <d v="2024-11-03T00:00:00"/>
    <n v="433.58"/>
    <x v="7"/>
  </r>
  <r>
    <s v="CUST025"/>
    <x v="14"/>
    <x v="1"/>
    <x v="0"/>
    <x v="118"/>
    <n v="2"/>
    <n v="0.15"/>
    <d v="2024-11-09T00:00:00"/>
    <n v="343.6"/>
    <x v="7"/>
  </r>
  <r>
    <s v="CUST026"/>
    <x v="20"/>
    <x v="3"/>
    <x v="3"/>
    <x v="119"/>
    <n v="4"/>
    <n v="0.05"/>
    <d v="2024-11-09T00:00:00"/>
    <n v="318.3"/>
    <x v="7"/>
  </r>
  <r>
    <s v="CUST001"/>
    <x v="12"/>
    <x v="3"/>
    <x v="3"/>
    <x v="120"/>
    <n v="3"/>
    <n v="0.05"/>
    <d v="2024-11-12T00:00:00"/>
    <n v="358.41"/>
    <x v="7"/>
  </r>
  <r>
    <s v="CUST028"/>
    <x v="15"/>
    <x v="2"/>
    <x v="1"/>
    <x v="121"/>
    <n v="5"/>
    <n v="0"/>
    <d v="2024-11-15T00:00:00"/>
    <n v="581.5"/>
    <x v="7"/>
  </r>
  <r>
    <s v="CUST025"/>
    <x v="12"/>
    <x v="1"/>
    <x v="4"/>
    <x v="122"/>
    <n v="10"/>
    <n v="0.1"/>
    <d v="2024-11-16T00:00:00"/>
    <n v="410.9"/>
    <x v="7"/>
  </r>
  <r>
    <s v="CUST019"/>
    <x v="2"/>
    <x v="2"/>
    <x v="2"/>
    <x v="123"/>
    <n v="14"/>
    <n v="0"/>
    <d v="2024-11-17T00:00:00"/>
    <n v="179.51"/>
    <x v="7"/>
  </r>
  <r>
    <s v="CUST004"/>
    <x v="2"/>
    <x v="4"/>
    <x v="1"/>
    <x v="124"/>
    <n v="18"/>
    <n v="0.2"/>
    <d v="2024-11-17T00:00:00"/>
    <n v="511.14"/>
    <x v="7"/>
  </r>
  <r>
    <s v="CUST024"/>
    <x v="3"/>
    <x v="3"/>
    <x v="2"/>
    <x v="125"/>
    <n v="1"/>
    <n v="0.15"/>
    <d v="2024-11-17T00:00:00"/>
    <n v="150.18"/>
    <x v="7"/>
  </r>
  <r>
    <s v="CUST002"/>
    <x v="15"/>
    <x v="1"/>
    <x v="2"/>
    <x v="126"/>
    <n v="15"/>
    <n v="0"/>
    <d v="2024-11-19T00:00:00"/>
    <n v="352.65"/>
    <x v="7"/>
  </r>
  <r>
    <s v="CUST009"/>
    <x v="21"/>
    <x v="2"/>
    <x v="3"/>
    <x v="127"/>
    <n v="10"/>
    <n v="0"/>
    <d v="2024-11-19T00:00:00"/>
    <n v="472.62"/>
    <x v="7"/>
  </r>
  <r>
    <s v="CUST029"/>
    <x v="12"/>
    <x v="1"/>
    <x v="2"/>
    <x v="128"/>
    <n v="4"/>
    <n v="0.15"/>
    <d v="2024-11-19T00:00:00"/>
    <n v="195.33"/>
    <x v="7"/>
  </r>
  <r>
    <s v="CUST027"/>
    <x v="3"/>
    <x v="0"/>
    <x v="2"/>
    <x v="129"/>
    <n v="19"/>
    <n v="0"/>
    <d v="2024-11-20T00:00:00"/>
    <n v="64.63"/>
    <x v="7"/>
  </r>
  <r>
    <s v="CUST011"/>
    <x v="21"/>
    <x v="1"/>
    <x v="0"/>
    <x v="130"/>
    <n v="5"/>
    <n v="0.05"/>
    <d v="2024-11-20T00:00:00"/>
    <n v="461.12"/>
    <x v="7"/>
  </r>
  <r>
    <s v="CUST021"/>
    <x v="9"/>
    <x v="4"/>
    <x v="0"/>
    <x v="131"/>
    <n v="8"/>
    <n v="0.05"/>
    <d v="2024-11-26T00:00:00"/>
    <n v="437.11"/>
    <x v="7"/>
  </r>
  <r>
    <s v="CUST014"/>
    <x v="26"/>
    <x v="2"/>
    <x v="3"/>
    <x v="132"/>
    <n v="8"/>
    <n v="0.1"/>
    <d v="2024-11-26T00:00:00"/>
    <n v="268.97000000000003"/>
    <x v="7"/>
  </r>
  <r>
    <s v="CUST018"/>
    <x v="12"/>
    <x v="2"/>
    <x v="2"/>
    <x v="133"/>
    <n v="1"/>
    <n v="0"/>
    <d v="2024-11-28T00:00:00"/>
    <n v="265.26"/>
    <x v="7"/>
  </r>
  <r>
    <s v="CUST001"/>
    <x v="11"/>
    <x v="0"/>
    <x v="2"/>
    <x v="134"/>
    <n v="19"/>
    <n v="0.2"/>
    <d v="2024-11-29T00:00:00"/>
    <n v="178.91"/>
    <x v="7"/>
  </r>
  <r>
    <s v="CUST007"/>
    <x v="9"/>
    <x v="3"/>
    <x v="4"/>
    <x v="135"/>
    <n v="3"/>
    <n v="0.05"/>
    <d v="2024-11-30T00:00:00"/>
    <n v="356.5"/>
    <x v="7"/>
  </r>
  <r>
    <s v="CUST015"/>
    <x v="26"/>
    <x v="0"/>
    <x v="3"/>
    <x v="136"/>
    <n v="4"/>
    <n v="0.2"/>
    <d v="2024-12-04T00:00:00"/>
    <n v="229.65"/>
    <x v="8"/>
  </r>
  <r>
    <s v="CUST015"/>
    <x v="9"/>
    <x v="4"/>
    <x v="2"/>
    <x v="137"/>
    <n v="8"/>
    <n v="0.05"/>
    <d v="2024-12-05T00:00:00"/>
    <n v="121.54"/>
    <x v="8"/>
  </r>
  <r>
    <s v="CUST002"/>
    <x v="21"/>
    <x v="2"/>
    <x v="3"/>
    <x v="138"/>
    <n v="19"/>
    <n v="0.05"/>
    <d v="2024-12-12T00:00:00"/>
    <n v="268"/>
    <x v="8"/>
  </r>
  <r>
    <s v="CUST001"/>
    <x v="4"/>
    <x v="4"/>
    <x v="3"/>
    <x v="139"/>
    <n v="16"/>
    <n v="0.15"/>
    <d v="2024-12-14T00:00:00"/>
    <n v="426.16"/>
    <x v="8"/>
  </r>
  <r>
    <s v="CUST027"/>
    <x v="5"/>
    <x v="4"/>
    <x v="2"/>
    <x v="140"/>
    <n v="10"/>
    <n v="0.15"/>
    <d v="2024-12-14T00:00:00"/>
    <n v="316.32"/>
    <x v="8"/>
  </r>
  <r>
    <s v="CUST026"/>
    <x v="24"/>
    <x v="1"/>
    <x v="0"/>
    <x v="141"/>
    <n v="9"/>
    <n v="0"/>
    <d v="2024-12-20T00:00:00"/>
    <n v="492.5"/>
    <x v="8"/>
  </r>
  <r>
    <s v="CUST026"/>
    <x v="11"/>
    <x v="0"/>
    <x v="2"/>
    <x v="142"/>
    <n v="19"/>
    <n v="0.2"/>
    <d v="2024-12-21T00:00:00"/>
    <n v="232.33"/>
    <x v="8"/>
  </r>
  <r>
    <s v="CUST022"/>
    <x v="12"/>
    <x v="4"/>
    <x v="4"/>
    <x v="143"/>
    <n v="16"/>
    <n v="0.05"/>
    <d v="2024-12-24T00:00:00"/>
    <n v="165.97"/>
    <x v="8"/>
  </r>
  <r>
    <s v="CUST004"/>
    <x v="6"/>
    <x v="3"/>
    <x v="1"/>
    <x v="144"/>
    <n v="6"/>
    <n v="0.15"/>
    <d v="2024-12-25T00:00:00"/>
    <n v="675.5"/>
    <x v="8"/>
  </r>
  <r>
    <s v="CUST001"/>
    <x v="26"/>
    <x v="3"/>
    <x v="1"/>
    <x v="145"/>
    <n v="13"/>
    <n v="0.2"/>
    <d v="2024-12-25T00:00:00"/>
    <n v="134.66"/>
    <x v="8"/>
  </r>
  <r>
    <s v="CUST022"/>
    <x v="3"/>
    <x v="0"/>
    <x v="0"/>
    <x v="146"/>
    <n v="14"/>
    <n v="0.1"/>
    <d v="2024-12-30T00:00:00"/>
    <n v="487.36"/>
    <x v="8"/>
  </r>
  <r>
    <s v="CUST011"/>
    <x v="25"/>
    <x v="4"/>
    <x v="1"/>
    <x v="147"/>
    <n v="11"/>
    <n v="0.05"/>
    <d v="2025-01-01T00:00:00"/>
    <n v="314.74"/>
    <x v="9"/>
  </r>
  <r>
    <s v="CUST028"/>
    <x v="14"/>
    <x v="3"/>
    <x v="4"/>
    <x v="148"/>
    <n v="1"/>
    <n v="0.2"/>
    <d v="2025-01-01T00:00:00"/>
    <n v="111.39"/>
    <x v="9"/>
  </r>
  <r>
    <s v="CUST011"/>
    <x v="5"/>
    <x v="3"/>
    <x v="0"/>
    <x v="149"/>
    <n v="18"/>
    <n v="0.1"/>
    <d v="2025-01-02T00:00:00"/>
    <n v="318.47000000000003"/>
    <x v="9"/>
  </r>
  <r>
    <s v="CUST028"/>
    <x v="3"/>
    <x v="4"/>
    <x v="4"/>
    <x v="150"/>
    <n v="10"/>
    <n v="0.1"/>
    <d v="2025-01-03T00:00:00"/>
    <n v="301.75"/>
    <x v="9"/>
  </r>
  <r>
    <s v="CUST016"/>
    <x v="2"/>
    <x v="2"/>
    <x v="1"/>
    <x v="151"/>
    <n v="5"/>
    <n v="0.05"/>
    <d v="2025-01-03T00:00:00"/>
    <n v="413.36"/>
    <x v="9"/>
  </r>
  <r>
    <s v="CUST010"/>
    <x v="5"/>
    <x v="0"/>
    <x v="3"/>
    <x v="152"/>
    <n v="18"/>
    <n v="0.05"/>
    <d v="2025-01-06T00:00:00"/>
    <n v="286.68"/>
    <x v="9"/>
  </r>
  <r>
    <s v="CUST013"/>
    <x v="20"/>
    <x v="3"/>
    <x v="1"/>
    <x v="153"/>
    <n v="19"/>
    <n v="0.05"/>
    <d v="2025-01-10T00:00:00"/>
    <n v="556.30999999999995"/>
    <x v="9"/>
  </r>
  <r>
    <s v="CUST015"/>
    <x v="1"/>
    <x v="2"/>
    <x v="3"/>
    <x v="154"/>
    <n v="11"/>
    <n v="0.1"/>
    <d v="2025-01-12T00:00:00"/>
    <n v="332.19"/>
    <x v="9"/>
  </r>
  <r>
    <s v="CUST015"/>
    <x v="3"/>
    <x v="3"/>
    <x v="2"/>
    <x v="155"/>
    <n v="5"/>
    <n v="0.2"/>
    <d v="2025-01-13T00:00:00"/>
    <n v="336.24"/>
    <x v="9"/>
  </r>
  <r>
    <s v="CUST015"/>
    <x v="8"/>
    <x v="0"/>
    <x v="1"/>
    <x v="156"/>
    <n v="9"/>
    <n v="0.05"/>
    <d v="2025-01-16T00:00:00"/>
    <n v="180.39"/>
    <x v="9"/>
  </r>
  <r>
    <s v="CUST008"/>
    <x v="12"/>
    <x v="4"/>
    <x v="1"/>
    <x v="157"/>
    <n v="2"/>
    <n v="0.1"/>
    <d v="2025-01-17T00:00:00"/>
    <n v="484.35"/>
    <x v="9"/>
  </r>
  <r>
    <s v="CUST008"/>
    <x v="6"/>
    <x v="4"/>
    <x v="4"/>
    <x v="158"/>
    <n v="7"/>
    <n v="0"/>
    <d v="2025-01-17T00:00:00"/>
    <n v="562.82000000000005"/>
    <x v="9"/>
  </r>
  <r>
    <s v="CUST023"/>
    <x v="2"/>
    <x v="2"/>
    <x v="1"/>
    <x v="159"/>
    <n v="6"/>
    <n v="0.2"/>
    <d v="2025-01-17T00:00:00"/>
    <n v="447.34"/>
    <x v="9"/>
  </r>
  <r>
    <s v="CUST024"/>
    <x v="17"/>
    <x v="3"/>
    <x v="1"/>
    <x v="160"/>
    <n v="12"/>
    <n v="0.2"/>
    <d v="2025-01-20T00:00:00"/>
    <n v="649.04999999999995"/>
    <x v="9"/>
  </r>
  <r>
    <s v="CUST018"/>
    <x v="14"/>
    <x v="3"/>
    <x v="0"/>
    <x v="161"/>
    <n v="11"/>
    <n v="0.2"/>
    <d v="2025-01-21T00:00:00"/>
    <n v="205"/>
    <x v="9"/>
  </r>
  <r>
    <s v="CUST030"/>
    <x v="11"/>
    <x v="0"/>
    <x v="1"/>
    <x v="162"/>
    <n v="17"/>
    <n v="0.1"/>
    <d v="2025-01-27T00:00:00"/>
    <n v="263.32"/>
    <x v="9"/>
  </r>
  <r>
    <s v="CUST030"/>
    <x v="6"/>
    <x v="1"/>
    <x v="1"/>
    <x v="163"/>
    <n v="5"/>
    <n v="0.2"/>
    <d v="2025-02-02T00:00:00"/>
    <n v="443.99"/>
    <x v="10"/>
  </r>
  <r>
    <s v="CUST015"/>
    <x v="12"/>
    <x v="1"/>
    <x v="0"/>
    <x v="164"/>
    <n v="9"/>
    <n v="0.1"/>
    <d v="2025-02-04T00:00:00"/>
    <n v="395.31"/>
    <x v="10"/>
  </r>
  <r>
    <s v="CUST002"/>
    <x v="14"/>
    <x v="0"/>
    <x v="4"/>
    <x v="165"/>
    <n v="7"/>
    <n v="0.1"/>
    <d v="2025-02-05T00:00:00"/>
    <n v="335.04"/>
    <x v="10"/>
  </r>
  <r>
    <s v="CUST024"/>
    <x v="5"/>
    <x v="4"/>
    <x v="1"/>
    <x v="166"/>
    <n v="16"/>
    <n v="0.1"/>
    <d v="2025-02-07T00:00:00"/>
    <n v="333.85"/>
    <x v="10"/>
  </r>
  <r>
    <s v="CUST004"/>
    <x v="0"/>
    <x v="1"/>
    <x v="4"/>
    <x v="167"/>
    <n v="6"/>
    <n v="0.1"/>
    <d v="2025-02-10T00:00:00"/>
    <n v="531.05999999999995"/>
    <x v="10"/>
  </r>
  <r>
    <s v="CUST004"/>
    <x v="6"/>
    <x v="2"/>
    <x v="4"/>
    <x v="168"/>
    <n v="19"/>
    <n v="0.1"/>
    <d v="2025-02-15T00:00:00"/>
    <n v="232.19"/>
    <x v="10"/>
  </r>
  <r>
    <s v="CUST028"/>
    <x v="3"/>
    <x v="0"/>
    <x v="2"/>
    <x v="169"/>
    <n v="14"/>
    <n v="0.2"/>
    <d v="2025-02-17T00:00:00"/>
    <n v="223.04"/>
    <x v="10"/>
  </r>
  <r>
    <s v="CUST012"/>
    <x v="12"/>
    <x v="3"/>
    <x v="1"/>
    <x v="170"/>
    <n v="4"/>
    <n v="0"/>
    <d v="2025-02-19T00:00:00"/>
    <n v="422.92"/>
    <x v="10"/>
  </r>
  <r>
    <s v="CUST026"/>
    <x v="18"/>
    <x v="0"/>
    <x v="2"/>
    <x v="171"/>
    <n v="3"/>
    <n v="0"/>
    <d v="2025-02-20T00:00:00"/>
    <n v="257.45"/>
    <x v="10"/>
  </r>
  <r>
    <s v="CUST009"/>
    <x v="6"/>
    <x v="3"/>
    <x v="0"/>
    <x v="172"/>
    <n v="2"/>
    <n v="0.2"/>
    <d v="2025-02-21T00:00:00"/>
    <n v="380.75"/>
    <x v="10"/>
  </r>
  <r>
    <s v="CUST003"/>
    <x v="11"/>
    <x v="2"/>
    <x v="0"/>
    <x v="173"/>
    <n v="15"/>
    <n v="0.2"/>
    <d v="2025-02-24T00:00:00"/>
    <n v="225.37"/>
    <x v="10"/>
  </r>
  <r>
    <s v="CUST002"/>
    <x v="13"/>
    <x v="4"/>
    <x v="4"/>
    <x v="174"/>
    <n v="12"/>
    <n v="0.2"/>
    <d v="2025-02-24T00:00:00"/>
    <n v="582.55999999999995"/>
    <x v="10"/>
  </r>
  <r>
    <s v="CUST013"/>
    <x v="17"/>
    <x v="4"/>
    <x v="0"/>
    <x v="175"/>
    <n v="2"/>
    <n v="0.15"/>
    <d v="2025-02-25T00:00:00"/>
    <n v="344.91"/>
    <x v="10"/>
  </r>
  <r>
    <s v="CUST018"/>
    <x v="6"/>
    <x v="4"/>
    <x v="1"/>
    <x v="176"/>
    <n v="18"/>
    <n v="0.2"/>
    <d v="2025-02-27T00:00:00"/>
    <n v="330.79"/>
    <x v="10"/>
  </r>
  <r>
    <s v="CUST017"/>
    <x v="6"/>
    <x v="4"/>
    <x v="1"/>
    <x v="177"/>
    <n v="8"/>
    <n v="0.1"/>
    <d v="2025-03-01T00:00:00"/>
    <n v="460"/>
    <x v="11"/>
  </r>
  <r>
    <s v="CUST004"/>
    <x v="5"/>
    <x v="1"/>
    <x v="0"/>
    <x v="178"/>
    <n v="6"/>
    <n v="0"/>
    <d v="2025-03-02T00:00:00"/>
    <n v="439.88"/>
    <x v="11"/>
  </r>
  <r>
    <s v="CUST028"/>
    <x v="23"/>
    <x v="3"/>
    <x v="0"/>
    <x v="179"/>
    <n v="8"/>
    <n v="0.1"/>
    <d v="2025-03-05T00:00:00"/>
    <n v="255.79"/>
    <x v="11"/>
  </r>
  <r>
    <s v="CUST028"/>
    <x v="20"/>
    <x v="3"/>
    <x v="0"/>
    <x v="180"/>
    <n v="15"/>
    <n v="0.2"/>
    <d v="2025-03-08T00:00:00"/>
    <n v="159.74"/>
    <x v="11"/>
  </r>
  <r>
    <s v="CUST014"/>
    <x v="9"/>
    <x v="2"/>
    <x v="0"/>
    <x v="181"/>
    <n v="18"/>
    <n v="0.05"/>
    <d v="2025-03-09T00:00:00"/>
    <n v="404.39"/>
    <x v="11"/>
  </r>
  <r>
    <s v="CUST003"/>
    <x v="9"/>
    <x v="1"/>
    <x v="4"/>
    <x v="182"/>
    <n v="18"/>
    <n v="0.05"/>
    <d v="2025-03-10T00:00:00"/>
    <n v="187.57"/>
    <x v="11"/>
  </r>
  <r>
    <s v="CUST029"/>
    <x v="18"/>
    <x v="0"/>
    <x v="1"/>
    <x v="183"/>
    <n v="2"/>
    <n v="0.05"/>
    <d v="2025-03-11T00:00:00"/>
    <n v="410.87"/>
    <x v="11"/>
  </r>
  <r>
    <s v="CUST021"/>
    <x v="18"/>
    <x v="0"/>
    <x v="3"/>
    <x v="184"/>
    <n v="14"/>
    <n v="0.2"/>
    <d v="2025-03-17T00:00:00"/>
    <n v="275.77999999999997"/>
    <x v="11"/>
  </r>
  <r>
    <s v="CUST007"/>
    <x v="18"/>
    <x v="0"/>
    <x v="1"/>
    <x v="185"/>
    <n v="18"/>
    <n v="0"/>
    <d v="2025-03-18T00:00:00"/>
    <n v="746.74"/>
    <x v="11"/>
  </r>
  <r>
    <s v="CUST009"/>
    <x v="17"/>
    <x v="2"/>
    <x v="1"/>
    <x v="186"/>
    <n v="9"/>
    <n v="0.1"/>
    <d v="2025-03-20T00:00:00"/>
    <n v="310.24"/>
    <x v="11"/>
  </r>
  <r>
    <s v="CUST023"/>
    <x v="20"/>
    <x v="2"/>
    <x v="1"/>
    <x v="187"/>
    <n v="1"/>
    <n v="0"/>
    <d v="2025-03-22T00:00:00"/>
    <n v="341.12"/>
    <x v="11"/>
  </r>
  <r>
    <s v="CUST029"/>
    <x v="4"/>
    <x v="3"/>
    <x v="2"/>
    <x v="188"/>
    <n v="15"/>
    <n v="0.2"/>
    <d v="2025-03-25T00:00:00"/>
    <n v="91.71"/>
    <x v="11"/>
  </r>
  <r>
    <s v="CUST009"/>
    <x v="4"/>
    <x v="2"/>
    <x v="3"/>
    <x v="189"/>
    <n v="11"/>
    <n v="0.2"/>
    <d v="2025-03-26T00:00:00"/>
    <n v="331.59"/>
    <x v="11"/>
  </r>
  <r>
    <s v="CUST007"/>
    <x v="0"/>
    <x v="2"/>
    <x v="1"/>
    <x v="190"/>
    <n v="9"/>
    <n v="0"/>
    <d v="2025-03-27T00:00:00"/>
    <n v="381.07"/>
    <x v="11"/>
  </r>
  <r>
    <s v="CUST030"/>
    <x v="17"/>
    <x v="3"/>
    <x v="0"/>
    <x v="191"/>
    <n v="10"/>
    <n v="0.15"/>
    <d v="2025-03-27T00:00:00"/>
    <n v="255.24"/>
    <x v="11"/>
  </r>
  <r>
    <s v="CUST018"/>
    <x v="26"/>
    <x v="4"/>
    <x v="1"/>
    <x v="192"/>
    <n v="14"/>
    <n v="0.05"/>
    <d v="2025-03-29T00:00:00"/>
    <n v="692.05"/>
    <x v="11"/>
  </r>
  <r>
    <s v="CUST008"/>
    <x v="21"/>
    <x v="1"/>
    <x v="3"/>
    <x v="193"/>
    <n v="17"/>
    <n v="0.1"/>
    <d v="2025-03-29T00:00:00"/>
    <n v="344.41"/>
    <x v="11"/>
  </r>
  <r>
    <s v="CUST014"/>
    <x v="11"/>
    <x v="0"/>
    <x v="1"/>
    <x v="194"/>
    <n v="8"/>
    <n v="0.15"/>
    <d v="2025-03-30T00:00:00"/>
    <n v="397.06"/>
    <x v="11"/>
  </r>
  <r>
    <s v="CUST024"/>
    <x v="8"/>
    <x v="4"/>
    <x v="1"/>
    <x v="195"/>
    <n v="8"/>
    <n v="0.2"/>
    <d v="2025-03-30T00:00:00"/>
    <n v="586.14"/>
    <x v="11"/>
  </r>
  <r>
    <s v="CUST028"/>
    <x v="1"/>
    <x v="2"/>
    <x v="4"/>
    <x v="196"/>
    <n v="3"/>
    <n v="0"/>
    <d v="2025-04-02T00:00:00"/>
    <n v="333.36"/>
    <x v="0"/>
  </r>
  <r>
    <s v="CUST015"/>
    <x v="11"/>
    <x v="0"/>
    <x v="4"/>
    <x v="197"/>
    <n v="17"/>
    <n v="0"/>
    <d v="2025-04-05T00:00:00"/>
    <n v="245.45"/>
    <x v="0"/>
  </r>
  <r>
    <s v="CUST010"/>
    <x v="8"/>
    <x v="1"/>
    <x v="0"/>
    <x v="198"/>
    <n v="8"/>
    <n v="0.05"/>
    <d v="2025-04-05T00:00:00"/>
    <n v="379.09"/>
    <x v="0"/>
  </r>
  <r>
    <s v="CUST016"/>
    <x v="8"/>
    <x v="2"/>
    <x v="1"/>
    <x v="199"/>
    <n v="2"/>
    <n v="0.05"/>
    <d v="2025-04-07T00:00:00"/>
    <n v="440.95"/>
    <x v="0"/>
  </r>
</pivotCacheRecords>
</file>

<file path=xl/pivotCache/pivotCacheRecords2.xml><?xml version="1.0" encoding="utf-8"?>
<pivotCacheRecords xmlns="http://schemas.openxmlformats.org/spreadsheetml/2006/main" xmlns:r="http://schemas.openxmlformats.org/officeDocument/2006/relationships" count="200">
  <r>
    <x v="0"/>
    <s v="West"/>
    <s v="Books"/>
    <n v="1036.0899999999999"/>
    <n v="4"/>
    <n v="0.2"/>
    <d v="2024-04-10T00:00:00"/>
    <n v="331.55"/>
  </r>
  <r>
    <x v="1"/>
    <s v="West"/>
    <s v="Clothing"/>
    <n v="1101.28"/>
    <n v="3"/>
    <n v="0.2"/>
    <d v="2024-04-11T00:00:00"/>
    <n v="440.51"/>
  </r>
  <r>
    <x v="2"/>
    <s v="East"/>
    <s v="Books"/>
    <n v="713.34"/>
    <n v="17"/>
    <n v="0"/>
    <d v="2024-04-14T00:00:00"/>
    <n v="285.33999999999997"/>
  </r>
  <r>
    <x v="1"/>
    <s v="South"/>
    <s v="Electronics"/>
    <n v="760.93"/>
    <n v="4"/>
    <n v="0.15"/>
    <d v="2024-04-14T00:00:00"/>
    <n v="161.69999999999999"/>
  </r>
  <r>
    <x v="3"/>
    <s v="North"/>
    <s v="Books"/>
    <n v="847"/>
    <n v="12"/>
    <n v="0.2"/>
    <d v="2024-04-15T00:00:00"/>
    <n v="271.04000000000002"/>
  </r>
  <r>
    <x v="4"/>
    <s v="North"/>
    <s v="Furniture"/>
    <n v="965.64"/>
    <n v="8"/>
    <n v="0.1"/>
    <d v="2024-04-16T00:00:00"/>
    <n v="304.18"/>
  </r>
  <r>
    <x v="5"/>
    <s v="West"/>
    <s v="Electronics"/>
    <n v="1317.53"/>
    <n v="12"/>
    <n v="0.05"/>
    <d v="2024-04-16T00:00:00"/>
    <n v="312.91000000000003"/>
  </r>
  <r>
    <x v="6"/>
    <s v="East"/>
    <s v="Furniture"/>
    <n v="1074.47"/>
    <n v="6"/>
    <n v="0.2"/>
    <d v="2024-04-19T00:00:00"/>
    <n v="300.85000000000002"/>
  </r>
  <r>
    <x v="7"/>
    <s v="Central"/>
    <s v="Books"/>
    <n v="501.54"/>
    <n v="11"/>
    <n v="0.05"/>
    <d v="2024-04-19T00:00:00"/>
    <n v="190.59"/>
  </r>
  <r>
    <x v="8"/>
    <s v="Central"/>
    <s v="Clothing"/>
    <n v="737.31"/>
    <n v="2"/>
    <n v="0.05"/>
    <d v="2024-04-19T00:00:00"/>
    <n v="350.22"/>
  </r>
  <r>
    <x v="9"/>
    <s v="West"/>
    <s v="Office Supplies"/>
    <n v="1572.82"/>
    <n v="6"/>
    <n v="0.05"/>
    <d v="2024-04-20T00:00:00"/>
    <n v="672.38"/>
  </r>
  <r>
    <x v="8"/>
    <s v="Central"/>
    <s v="Books"/>
    <n v="1343.13"/>
    <n v="14"/>
    <n v="0.15"/>
    <d v="2024-04-22T00:00:00"/>
    <n v="456.66"/>
  </r>
  <r>
    <x v="4"/>
    <s v="Central"/>
    <s v="Books"/>
    <n v="1191.58"/>
    <n v="14"/>
    <n v="0.05"/>
    <d v="2024-04-24T00:00:00"/>
    <n v="452.8"/>
  </r>
  <r>
    <x v="1"/>
    <s v="West"/>
    <s v="Furniture"/>
    <n v="822.28"/>
    <n v="7"/>
    <n v="0.05"/>
    <d v="2024-04-24T00:00:00"/>
    <n v="273.41000000000003"/>
  </r>
  <r>
    <x v="10"/>
    <s v="North"/>
    <s v="Furniture"/>
    <n v="521.66999999999996"/>
    <n v="15"/>
    <n v="0.15"/>
    <d v="2024-04-27T00:00:00"/>
    <n v="155.19999999999999"/>
  </r>
  <r>
    <x v="11"/>
    <s v="South"/>
    <s v="Electronics"/>
    <n v="1502.93"/>
    <n v="14"/>
    <n v="0.2"/>
    <d v="2024-04-28T00:00:00"/>
    <n v="300.58999999999997"/>
  </r>
  <r>
    <x v="1"/>
    <s v="South"/>
    <s v="Books"/>
    <n v="877.58"/>
    <n v="10"/>
    <n v="0.15"/>
    <d v="2024-04-29T00:00:00"/>
    <n v="298.38"/>
  </r>
  <r>
    <x v="12"/>
    <s v="West"/>
    <s v="Books"/>
    <n v="636.70000000000005"/>
    <n v="4"/>
    <n v="0.2"/>
    <d v="2024-04-29T00:00:00"/>
    <n v="203.74"/>
  </r>
  <r>
    <x v="13"/>
    <s v="West"/>
    <s v="Books"/>
    <n v="1506.14"/>
    <n v="13"/>
    <n v="0.2"/>
    <d v="2024-04-30T00:00:00"/>
    <n v="481.96"/>
  </r>
  <r>
    <x v="6"/>
    <s v="Central"/>
    <s v="Electronics"/>
    <n v="645.02"/>
    <n v="4"/>
    <n v="0"/>
    <d v="2024-05-02T00:00:00"/>
    <n v="161.26"/>
  </r>
  <r>
    <x v="14"/>
    <s v="South"/>
    <s v="Clothing"/>
    <n v="953.3"/>
    <n v="11"/>
    <n v="0"/>
    <d v="2024-05-03T00:00:00"/>
    <n v="476.65"/>
  </r>
  <r>
    <x v="1"/>
    <s v="North"/>
    <s v="Electronics"/>
    <n v="388.56"/>
    <n v="14"/>
    <n v="0.15"/>
    <d v="2024-05-04T00:00:00"/>
    <n v="82.57"/>
  </r>
  <r>
    <x v="6"/>
    <s v="West"/>
    <s v="Books"/>
    <n v="743.17"/>
    <n v="9"/>
    <n v="0"/>
    <d v="2024-05-04T00:00:00"/>
    <n v="297.27"/>
  </r>
  <r>
    <x v="6"/>
    <s v="Central"/>
    <s v="Electronics"/>
    <n v="706.37"/>
    <n v="6"/>
    <n v="0"/>
    <d v="2024-05-04T00:00:00"/>
    <n v="176.59"/>
  </r>
  <r>
    <x v="6"/>
    <s v="Central"/>
    <s v="Office Supplies"/>
    <n v="925.31"/>
    <n v="8"/>
    <n v="0.1"/>
    <d v="2024-05-06T00:00:00"/>
    <n v="374.75"/>
  </r>
  <r>
    <x v="15"/>
    <s v="South"/>
    <s v="Electronics"/>
    <n v="1173.1199999999999"/>
    <n v="18"/>
    <n v="0"/>
    <d v="2024-05-06T00:00:00"/>
    <n v="293.27999999999997"/>
  </r>
  <r>
    <x v="16"/>
    <s v="North"/>
    <s v="Furniture"/>
    <n v="675.54"/>
    <n v="17"/>
    <n v="0"/>
    <d v="2024-05-08T00:00:00"/>
    <n v="236.44"/>
  </r>
  <r>
    <x v="1"/>
    <s v="Central"/>
    <s v="Books"/>
    <n v="939.09"/>
    <n v="2"/>
    <n v="0.05"/>
    <d v="2024-05-10T00:00:00"/>
    <n v="356.85"/>
  </r>
  <r>
    <x v="17"/>
    <s v="East"/>
    <s v="Office Supplies"/>
    <n v="983.34"/>
    <n v="19"/>
    <n v="0.1"/>
    <d v="2024-05-14T00:00:00"/>
    <n v="398.25"/>
  </r>
  <r>
    <x v="3"/>
    <s v="South"/>
    <s v="Electronics"/>
    <n v="801.21"/>
    <n v="3"/>
    <n v="0.2"/>
    <d v="2024-05-14T00:00:00"/>
    <n v="160.24"/>
  </r>
  <r>
    <x v="18"/>
    <s v="North"/>
    <s v="Electronics"/>
    <n v="1450.71"/>
    <n v="5"/>
    <n v="0.1"/>
    <d v="2024-05-15T00:00:00"/>
    <n v="326.41000000000003"/>
  </r>
  <r>
    <x v="19"/>
    <s v="Central"/>
    <s v="Books"/>
    <n v="1023.21"/>
    <n v="18"/>
    <n v="0.05"/>
    <d v="2024-05-16T00:00:00"/>
    <n v="388.82"/>
  </r>
  <r>
    <x v="13"/>
    <s v="West"/>
    <s v="Furniture"/>
    <n v="853.72"/>
    <n v="5"/>
    <n v="0.15"/>
    <d v="2024-05-16T00:00:00"/>
    <n v="253.98"/>
  </r>
  <r>
    <x v="11"/>
    <s v="South"/>
    <s v="Electronics"/>
    <n v="967.89"/>
    <n v="10"/>
    <n v="0.1"/>
    <d v="2024-05-17T00:00:00"/>
    <n v="217.78"/>
  </r>
  <r>
    <x v="17"/>
    <s v="North"/>
    <s v="Office Supplies"/>
    <n v="1200.9000000000001"/>
    <n v="14"/>
    <n v="0.05"/>
    <d v="2024-05-17T00:00:00"/>
    <n v="513.38"/>
  </r>
  <r>
    <x v="4"/>
    <s v="West"/>
    <s v="Books"/>
    <n v="472.38"/>
    <n v="12"/>
    <n v="0.2"/>
    <d v="2024-05-17T00:00:00"/>
    <n v="151.16"/>
  </r>
  <r>
    <x v="18"/>
    <s v="East"/>
    <s v="Office Supplies"/>
    <n v="840.92"/>
    <n v="9"/>
    <n v="0.05"/>
    <d v="2024-05-17T00:00:00"/>
    <n v="359.49"/>
  </r>
  <r>
    <x v="14"/>
    <s v="Central"/>
    <s v="Furniture"/>
    <n v="1410.06"/>
    <n v="11"/>
    <n v="0.05"/>
    <d v="2024-05-22T00:00:00"/>
    <n v="468.84"/>
  </r>
  <r>
    <x v="20"/>
    <s v="Central"/>
    <s v="Furniture"/>
    <n v="773.09"/>
    <n v="13"/>
    <n v="0.15"/>
    <d v="2024-05-22T00:00:00"/>
    <n v="229.99"/>
  </r>
  <r>
    <x v="21"/>
    <s v="East"/>
    <s v="Books"/>
    <n v="580.42999999999995"/>
    <n v="19"/>
    <n v="0.15"/>
    <d v="2024-05-23T00:00:00"/>
    <n v="197.35"/>
  </r>
  <r>
    <x v="10"/>
    <s v="South"/>
    <s v="Books"/>
    <n v="1151.21"/>
    <n v="15"/>
    <n v="0.1"/>
    <d v="2024-06-02T00:00:00"/>
    <n v="414.44"/>
  </r>
  <r>
    <x v="3"/>
    <s v="Central"/>
    <s v="Office Supplies"/>
    <n v="1025.98"/>
    <n v="5"/>
    <n v="0.2"/>
    <d v="2024-06-04T00:00:00"/>
    <n v="369.35"/>
  </r>
  <r>
    <x v="19"/>
    <s v="East"/>
    <s v="Office Supplies"/>
    <n v="556.41999999999996"/>
    <n v="11"/>
    <n v="0.15"/>
    <d v="2024-06-04T00:00:00"/>
    <n v="212.83"/>
  </r>
  <r>
    <x v="3"/>
    <s v="Central"/>
    <s v="Books"/>
    <n v="840.85"/>
    <n v="19"/>
    <n v="0.1"/>
    <d v="2024-06-05T00:00:00"/>
    <n v="302.70999999999998"/>
  </r>
  <r>
    <x v="21"/>
    <s v="North"/>
    <s v="Furniture"/>
    <n v="1227.25"/>
    <n v="12"/>
    <n v="0.15"/>
    <d v="2024-06-05T00:00:00"/>
    <n v="365.11"/>
  </r>
  <r>
    <x v="22"/>
    <s v="Central"/>
    <s v="Electronics"/>
    <n v="856.7"/>
    <n v="2"/>
    <n v="0"/>
    <d v="2024-06-06T00:00:00"/>
    <n v="214.18"/>
  </r>
  <r>
    <x v="19"/>
    <s v="Central"/>
    <s v="Office Supplies"/>
    <n v="1225.42"/>
    <n v="8"/>
    <n v="0.15"/>
    <d v="2024-06-06T00:00:00"/>
    <n v="468.72"/>
  </r>
  <r>
    <x v="6"/>
    <s v="North"/>
    <s v="Office Supplies"/>
    <n v="1001.57"/>
    <n v="12"/>
    <n v="0"/>
    <d v="2024-06-07T00:00:00"/>
    <n v="450.71"/>
  </r>
  <r>
    <x v="4"/>
    <s v="East"/>
    <s v="Furniture"/>
    <n v="1186.8499999999999"/>
    <n v="19"/>
    <n v="0.2"/>
    <d v="2024-06-08T00:00:00"/>
    <n v="332.32"/>
  </r>
  <r>
    <x v="16"/>
    <s v="South"/>
    <s v="Electronics"/>
    <n v="775.45"/>
    <n v="6"/>
    <n v="0.1"/>
    <d v="2024-06-14T00:00:00"/>
    <n v="174.48"/>
  </r>
  <r>
    <x v="7"/>
    <s v="South"/>
    <s v="Electronics"/>
    <n v="1021.47"/>
    <n v="6"/>
    <n v="0.05"/>
    <d v="2024-06-18T00:00:00"/>
    <n v="242.6"/>
  </r>
  <r>
    <x v="3"/>
    <s v="South"/>
    <s v="Clothing"/>
    <n v="1226.6199999999999"/>
    <n v="7"/>
    <n v="0.1"/>
    <d v="2024-06-20T00:00:00"/>
    <n v="551.98"/>
  </r>
  <r>
    <x v="23"/>
    <s v="South"/>
    <s v="Furniture"/>
    <n v="1086.93"/>
    <n v="2"/>
    <n v="0"/>
    <d v="2024-06-21T00:00:00"/>
    <n v="380.43"/>
  </r>
  <r>
    <x v="14"/>
    <s v="West"/>
    <s v="Books"/>
    <n v="942.9"/>
    <n v="18"/>
    <n v="0.1"/>
    <d v="2024-06-23T00:00:00"/>
    <n v="339.44"/>
  </r>
  <r>
    <x v="9"/>
    <s v="North"/>
    <s v="Electronics"/>
    <n v="818.8"/>
    <n v="15"/>
    <n v="0.15"/>
    <d v="2024-06-25T00:00:00"/>
    <n v="173.99"/>
  </r>
  <r>
    <x v="1"/>
    <s v="South"/>
    <s v="Furniture"/>
    <n v="919.04"/>
    <n v="10"/>
    <n v="0.2"/>
    <d v="2024-06-25T00:00:00"/>
    <n v="257.33"/>
  </r>
  <r>
    <x v="24"/>
    <s v="Central"/>
    <s v="Books"/>
    <n v="973.26"/>
    <n v="11"/>
    <n v="0"/>
    <d v="2024-06-27T00:00:00"/>
    <n v="389.3"/>
  </r>
  <r>
    <x v="23"/>
    <s v="North"/>
    <s v="Electronics"/>
    <n v="741.61"/>
    <n v="1"/>
    <n v="0.2"/>
    <d v="2024-06-28T00:00:00"/>
    <n v="148.32"/>
  </r>
  <r>
    <x v="9"/>
    <s v="North"/>
    <s v="Books"/>
    <n v="1248.82"/>
    <n v="2"/>
    <n v="0.1"/>
    <d v="2024-06-30T00:00:00"/>
    <n v="449.58"/>
  </r>
  <r>
    <x v="20"/>
    <s v="West"/>
    <s v="Clothing"/>
    <n v="1360.36"/>
    <n v="17"/>
    <n v="0"/>
    <d v="2024-06-30T00:00:00"/>
    <n v="680.18"/>
  </r>
  <r>
    <x v="6"/>
    <s v="East"/>
    <s v="Books"/>
    <n v="1383.3"/>
    <n v="8"/>
    <n v="0.1"/>
    <d v="2024-07-05T00:00:00"/>
    <n v="497.99"/>
  </r>
  <r>
    <x v="18"/>
    <s v="Central"/>
    <s v="Office Supplies"/>
    <n v="488.99"/>
    <n v="9"/>
    <n v="0"/>
    <d v="2024-07-06T00:00:00"/>
    <n v="220.05"/>
  </r>
  <r>
    <x v="6"/>
    <s v="East"/>
    <s v="Furniture"/>
    <n v="933.71"/>
    <n v="17"/>
    <n v="0.1"/>
    <d v="2024-07-08T00:00:00"/>
    <n v="294.12"/>
  </r>
  <r>
    <x v="0"/>
    <s v="West"/>
    <s v="Electronics"/>
    <n v="1005.53"/>
    <n v="17"/>
    <n v="0.2"/>
    <d v="2024-07-08T00:00:00"/>
    <n v="201.11"/>
  </r>
  <r>
    <x v="21"/>
    <s v="South"/>
    <s v="Electronics"/>
    <n v="1100.0999999999999"/>
    <n v="5"/>
    <n v="0.05"/>
    <d v="2024-07-09T00:00:00"/>
    <n v="261.27"/>
  </r>
  <r>
    <x v="3"/>
    <s v="North"/>
    <s v="Furniture"/>
    <n v="1034.7"/>
    <n v="15"/>
    <n v="0.15"/>
    <d v="2024-07-14T00:00:00"/>
    <n v="307.82"/>
  </r>
  <r>
    <x v="6"/>
    <s v="South"/>
    <s v="Books"/>
    <n v="876.44"/>
    <n v="12"/>
    <n v="0.05"/>
    <d v="2024-07-15T00:00:00"/>
    <n v="333.05"/>
  </r>
  <r>
    <x v="18"/>
    <s v="West"/>
    <s v="Furniture"/>
    <n v="1371.34"/>
    <n v="5"/>
    <n v="0.05"/>
    <d v="2024-07-15T00:00:00"/>
    <n v="455.97"/>
  </r>
  <r>
    <x v="13"/>
    <s v="North"/>
    <s v="Electronics"/>
    <n v="1020.26"/>
    <n v="11"/>
    <n v="0.05"/>
    <d v="2024-07-21T00:00:00"/>
    <n v="242.31"/>
  </r>
  <r>
    <x v="0"/>
    <s v="Central"/>
    <s v="Office Supplies"/>
    <n v="804.81"/>
    <n v="1"/>
    <n v="0.05"/>
    <d v="2024-07-29T00:00:00"/>
    <n v="344.06"/>
  </r>
  <r>
    <x v="18"/>
    <s v="Central"/>
    <s v="Electronics"/>
    <n v="608.66"/>
    <n v="1"/>
    <n v="0.05"/>
    <d v="2024-07-30T00:00:00"/>
    <n v="144.56"/>
  </r>
  <r>
    <x v="25"/>
    <s v="South"/>
    <s v="Office Supplies"/>
    <n v="981.2"/>
    <n v="19"/>
    <n v="0"/>
    <d v="2024-07-31T00:00:00"/>
    <n v="441.54"/>
  </r>
  <r>
    <x v="18"/>
    <s v="East"/>
    <s v="Electronics"/>
    <n v="539.77"/>
    <n v="10"/>
    <n v="0.15"/>
    <d v="2024-08-05T00:00:00"/>
    <n v="114.7"/>
  </r>
  <r>
    <x v="26"/>
    <s v="South"/>
    <s v="Books"/>
    <n v="804.45"/>
    <n v="5"/>
    <n v="0.2"/>
    <d v="2024-08-05T00:00:00"/>
    <n v="257.42"/>
  </r>
  <r>
    <x v="9"/>
    <s v="West"/>
    <s v="Electronics"/>
    <n v="1526.6"/>
    <n v="13"/>
    <n v="0.2"/>
    <d v="2024-08-08T00:00:00"/>
    <n v="305.32"/>
  </r>
  <r>
    <x v="5"/>
    <s v="West"/>
    <s v="Electronics"/>
    <n v="1215.26"/>
    <n v="5"/>
    <n v="0.15"/>
    <d v="2024-08-09T00:00:00"/>
    <n v="258.24"/>
  </r>
  <r>
    <x v="17"/>
    <s v="Central"/>
    <s v="Furniture"/>
    <n v="1261.3399999999999"/>
    <n v="3"/>
    <n v="0"/>
    <d v="2024-08-15T00:00:00"/>
    <n v="441.47"/>
  </r>
  <r>
    <x v="12"/>
    <s v="North"/>
    <s v="Furniture"/>
    <n v="518.07000000000005"/>
    <n v="7"/>
    <n v="0.05"/>
    <d v="2024-08-18T00:00:00"/>
    <n v="172.26"/>
  </r>
  <r>
    <x v="5"/>
    <s v="West"/>
    <s v="Office Supplies"/>
    <n v="1111.3399999999999"/>
    <n v="1"/>
    <n v="0"/>
    <d v="2024-08-19T00:00:00"/>
    <n v="500.1"/>
  </r>
  <r>
    <x v="6"/>
    <s v="East"/>
    <s v="Clothing"/>
    <n v="1291.47"/>
    <n v="18"/>
    <n v="0.1"/>
    <d v="2024-08-22T00:00:00"/>
    <n v="581.16"/>
  </r>
  <r>
    <x v="18"/>
    <s v="North"/>
    <s v="Books"/>
    <n v="679.71"/>
    <n v="19"/>
    <n v="0"/>
    <d v="2024-08-30T00:00:00"/>
    <n v="271.88"/>
  </r>
  <r>
    <x v="7"/>
    <s v="East"/>
    <s v="Furniture"/>
    <n v="1143.69"/>
    <n v="17"/>
    <n v="0"/>
    <d v="2024-08-30T00:00:00"/>
    <n v="400.29"/>
  </r>
  <r>
    <x v="15"/>
    <s v="Central"/>
    <s v="Electronics"/>
    <n v="790.08"/>
    <n v="7"/>
    <n v="0.1"/>
    <d v="2024-09-01T00:00:00"/>
    <n v="177.77"/>
  </r>
  <r>
    <x v="14"/>
    <s v="Central"/>
    <s v="Books"/>
    <n v="1070.68"/>
    <n v="7"/>
    <n v="0.05"/>
    <d v="2024-09-01T00:00:00"/>
    <n v="406.86"/>
  </r>
  <r>
    <x v="8"/>
    <s v="West"/>
    <s v="Clothing"/>
    <n v="1168.8900000000001"/>
    <n v="4"/>
    <n v="0.1"/>
    <d v="2024-09-09T00:00:00"/>
    <n v="526"/>
  </r>
  <r>
    <x v="0"/>
    <s v="South"/>
    <s v="Electronics"/>
    <n v="1335.87"/>
    <n v="17"/>
    <n v="0"/>
    <d v="2024-09-09T00:00:00"/>
    <n v="333.97"/>
  </r>
  <r>
    <x v="18"/>
    <s v="East"/>
    <s v="Furniture"/>
    <n v="873.7"/>
    <n v="9"/>
    <n v="0"/>
    <d v="2024-09-11T00:00:00"/>
    <n v="305.8"/>
  </r>
  <r>
    <x v="23"/>
    <s v="West"/>
    <s v="Office Supplies"/>
    <n v="1443.98"/>
    <n v="19"/>
    <n v="0"/>
    <d v="2024-09-12T00:00:00"/>
    <n v="649.79"/>
  </r>
  <r>
    <x v="3"/>
    <s v="East"/>
    <s v="Office Supplies"/>
    <n v="1154.33"/>
    <n v="11"/>
    <n v="0.15"/>
    <d v="2024-09-14T00:00:00"/>
    <n v="441.53"/>
  </r>
  <r>
    <x v="15"/>
    <s v="South"/>
    <s v="Books"/>
    <n v="1264.49"/>
    <n v="16"/>
    <n v="0.05"/>
    <d v="2024-09-14T00:00:00"/>
    <n v="480.51"/>
  </r>
  <r>
    <x v="24"/>
    <s v="West"/>
    <s v="Furniture"/>
    <n v="1101.55"/>
    <n v="4"/>
    <n v="0.1"/>
    <d v="2024-09-16T00:00:00"/>
    <n v="346.99"/>
  </r>
  <r>
    <x v="1"/>
    <s v="South"/>
    <s v="Furniture"/>
    <n v="727.73"/>
    <n v="1"/>
    <n v="0.1"/>
    <d v="2024-09-17T00:00:00"/>
    <n v="229.23"/>
  </r>
  <r>
    <x v="9"/>
    <s v="East"/>
    <s v="Office Supplies"/>
    <n v="875.41"/>
    <n v="13"/>
    <n v="0.15"/>
    <d v="2024-09-17T00:00:00"/>
    <n v="334.84"/>
  </r>
  <r>
    <x v="3"/>
    <s v="West"/>
    <s v="Electronics"/>
    <n v="1158.94"/>
    <n v="19"/>
    <n v="0.2"/>
    <d v="2024-09-18T00:00:00"/>
    <n v="231.79"/>
  </r>
  <r>
    <x v="13"/>
    <s v="South"/>
    <s v="Books"/>
    <n v="966.3"/>
    <n v="2"/>
    <n v="0.15"/>
    <d v="2024-09-22T00:00:00"/>
    <n v="328.54"/>
  </r>
  <r>
    <x v="2"/>
    <s v="South"/>
    <s v="Books"/>
    <n v="917.48"/>
    <n v="6"/>
    <n v="0"/>
    <d v="2024-09-23T00:00:00"/>
    <n v="366.99"/>
  </r>
  <r>
    <x v="21"/>
    <s v="West"/>
    <s v="Furniture"/>
    <n v="1172.97"/>
    <n v="7"/>
    <n v="0.15"/>
    <d v="2024-09-24T00:00:00"/>
    <n v="348.96"/>
  </r>
  <r>
    <x v="3"/>
    <s v="North"/>
    <s v="Clothing"/>
    <n v="1205.82"/>
    <n v="11"/>
    <n v="0.1"/>
    <d v="2024-09-24T00:00:00"/>
    <n v="542.62"/>
  </r>
  <r>
    <x v="23"/>
    <s v="West"/>
    <s v="Office Supplies"/>
    <n v="826.93"/>
    <n v="10"/>
    <n v="0.2"/>
    <d v="2024-09-29T00:00:00"/>
    <n v="297.69"/>
  </r>
  <r>
    <x v="3"/>
    <s v="Central"/>
    <s v="Clothing"/>
    <n v="902.19"/>
    <n v="12"/>
    <n v="0"/>
    <d v="2024-09-29T00:00:00"/>
    <n v="451.1"/>
  </r>
  <r>
    <x v="9"/>
    <s v="North"/>
    <s v="Books"/>
    <n v="585.97"/>
    <n v="17"/>
    <n v="0.1"/>
    <d v="2024-09-30T00:00:00"/>
    <n v="210.95"/>
  </r>
  <r>
    <x v="4"/>
    <s v="North"/>
    <s v="Clothing"/>
    <n v="990.19"/>
    <n v="8"/>
    <n v="0.1"/>
    <d v="2024-09-30T00:00:00"/>
    <n v="445.59"/>
  </r>
  <r>
    <x v="19"/>
    <s v="Central"/>
    <s v="Electronics"/>
    <n v="1014.09"/>
    <n v="13"/>
    <n v="0.2"/>
    <d v="2024-10-02T00:00:00"/>
    <n v="202.82"/>
  </r>
  <r>
    <x v="14"/>
    <s v="North"/>
    <s v="Electronics"/>
    <n v="925.29"/>
    <n v="17"/>
    <n v="0"/>
    <d v="2024-10-05T00:00:00"/>
    <n v="231.32"/>
  </r>
  <r>
    <x v="13"/>
    <s v="East"/>
    <s v="Furniture"/>
    <n v="1286.54"/>
    <n v="8"/>
    <n v="0"/>
    <d v="2024-10-10T00:00:00"/>
    <n v="450.29"/>
  </r>
  <r>
    <x v="23"/>
    <s v="South"/>
    <s v="Books"/>
    <n v="961.62"/>
    <n v="8"/>
    <n v="0.2"/>
    <d v="2024-10-12T00:00:00"/>
    <n v="307.72000000000003"/>
  </r>
  <r>
    <x v="3"/>
    <s v="East"/>
    <s v="Books"/>
    <n v="1081.1400000000001"/>
    <n v="19"/>
    <n v="0.15"/>
    <d v="2024-10-12T00:00:00"/>
    <n v="367.59"/>
  </r>
  <r>
    <x v="3"/>
    <s v="West"/>
    <s v="Clothing"/>
    <n v="1923.66"/>
    <n v="9"/>
    <n v="0.2"/>
    <d v="2024-10-15T00:00:00"/>
    <n v="769.46"/>
  </r>
  <r>
    <x v="24"/>
    <s v="Central"/>
    <s v="Clothing"/>
    <n v="728.71"/>
    <n v="14"/>
    <n v="0.1"/>
    <d v="2024-10-16T00:00:00"/>
    <n v="327.92"/>
  </r>
  <r>
    <x v="7"/>
    <s v="Central"/>
    <s v="Clothing"/>
    <n v="1301.8900000000001"/>
    <n v="7"/>
    <n v="0.15"/>
    <d v="2024-10-16T00:00:00"/>
    <n v="553.29999999999995"/>
  </r>
  <r>
    <x v="24"/>
    <s v="East"/>
    <s v="Books"/>
    <n v="980.18"/>
    <n v="16"/>
    <n v="0.1"/>
    <d v="2024-10-17T00:00:00"/>
    <n v="352.86"/>
  </r>
  <r>
    <x v="3"/>
    <s v="West"/>
    <s v="Clothing"/>
    <n v="697.57"/>
    <n v="17"/>
    <n v="0.1"/>
    <d v="2024-10-19T00:00:00"/>
    <n v="313.91000000000003"/>
  </r>
  <r>
    <x v="26"/>
    <s v="West"/>
    <s v="Furniture"/>
    <n v="1193.6099999999999"/>
    <n v="1"/>
    <n v="0.15"/>
    <d v="2024-10-19T00:00:00"/>
    <n v="355.1"/>
  </r>
  <r>
    <x v="9"/>
    <s v="South"/>
    <s v="Electronics"/>
    <n v="771.02"/>
    <n v="1"/>
    <n v="0"/>
    <d v="2024-10-20T00:00:00"/>
    <n v="192.76"/>
  </r>
  <r>
    <x v="25"/>
    <s v="North"/>
    <s v="Clothing"/>
    <n v="661.09"/>
    <n v="1"/>
    <n v="0.2"/>
    <d v="2024-10-28T00:00:00"/>
    <n v="264.44"/>
  </r>
  <r>
    <x v="18"/>
    <s v="West"/>
    <s v="Electronics"/>
    <n v="688.83"/>
    <n v="15"/>
    <n v="0"/>
    <d v="2024-10-30T00:00:00"/>
    <n v="172.21"/>
  </r>
  <r>
    <x v="5"/>
    <s v="Central"/>
    <s v="Books"/>
    <n v="1249.0999999999999"/>
    <n v="4"/>
    <n v="0.05"/>
    <d v="2024-11-01T00:00:00"/>
    <n v="474.66"/>
  </r>
  <r>
    <x v="3"/>
    <s v="East"/>
    <s v="Office Supplies"/>
    <n v="1014.22"/>
    <n v="14"/>
    <n v="0.05"/>
    <d v="2024-11-03T00:00:00"/>
    <n v="433.58"/>
  </r>
  <r>
    <x v="14"/>
    <s v="East"/>
    <s v="Books"/>
    <n v="1010.58"/>
    <n v="2"/>
    <n v="0.15"/>
    <d v="2024-11-09T00:00:00"/>
    <n v="343.6"/>
  </r>
  <r>
    <x v="20"/>
    <s v="North"/>
    <s v="Furniture"/>
    <n v="957.29"/>
    <n v="4"/>
    <n v="0.05"/>
    <d v="2024-11-09T00:00:00"/>
    <n v="318.3"/>
  </r>
  <r>
    <x v="12"/>
    <s v="North"/>
    <s v="Furniture"/>
    <n v="1077.92"/>
    <n v="3"/>
    <n v="0.05"/>
    <d v="2024-11-12T00:00:00"/>
    <n v="358.41"/>
  </r>
  <r>
    <x v="15"/>
    <s v="South"/>
    <s v="Clothing"/>
    <n v="1163.01"/>
    <n v="5"/>
    <n v="0"/>
    <d v="2024-11-15T00:00:00"/>
    <n v="581.5"/>
  </r>
  <r>
    <x v="12"/>
    <s v="East"/>
    <s v="Office Supplies"/>
    <n v="1014.56"/>
    <n v="10"/>
    <n v="0.1"/>
    <d v="2024-11-16T00:00:00"/>
    <n v="410.9"/>
  </r>
  <r>
    <x v="2"/>
    <s v="South"/>
    <s v="Electronics"/>
    <n v="718.04"/>
    <n v="14"/>
    <n v="0"/>
    <d v="2024-11-17T00:00:00"/>
    <n v="179.51"/>
  </r>
  <r>
    <x v="2"/>
    <s v="Central"/>
    <s v="Clothing"/>
    <n v="1277.8499999999999"/>
    <n v="18"/>
    <n v="0.2"/>
    <d v="2024-11-17T00:00:00"/>
    <n v="511.14"/>
  </r>
  <r>
    <x v="3"/>
    <s v="North"/>
    <s v="Electronics"/>
    <n v="706.73"/>
    <n v="1"/>
    <n v="0.15"/>
    <d v="2024-11-17T00:00:00"/>
    <n v="150.18"/>
  </r>
  <r>
    <x v="15"/>
    <s v="East"/>
    <s v="Electronics"/>
    <n v="1410.59"/>
    <n v="15"/>
    <n v="0"/>
    <d v="2024-11-19T00:00:00"/>
    <n v="352.65"/>
  </r>
  <r>
    <x v="21"/>
    <s v="South"/>
    <s v="Furniture"/>
    <n v="1350.33"/>
    <n v="10"/>
    <n v="0"/>
    <d v="2024-11-19T00:00:00"/>
    <n v="472.62"/>
  </r>
  <r>
    <x v="12"/>
    <s v="East"/>
    <s v="Electronics"/>
    <n v="919.18"/>
    <n v="4"/>
    <n v="0.15"/>
    <d v="2024-11-19T00:00:00"/>
    <n v="195.33"/>
  </r>
  <r>
    <x v="3"/>
    <s v="West"/>
    <s v="Electronics"/>
    <n v="258.51"/>
    <n v="19"/>
    <n v="0"/>
    <d v="2024-11-20T00:00:00"/>
    <n v="64.63"/>
  </r>
  <r>
    <x v="21"/>
    <s v="East"/>
    <s v="Books"/>
    <n v="1213.48"/>
    <n v="5"/>
    <n v="0.05"/>
    <d v="2024-11-20T00:00:00"/>
    <n v="461.12"/>
  </r>
  <r>
    <x v="9"/>
    <s v="Central"/>
    <s v="Books"/>
    <n v="1150.28"/>
    <n v="8"/>
    <n v="0.05"/>
    <d v="2024-11-26T00:00:00"/>
    <n v="437.11"/>
  </r>
  <r>
    <x v="26"/>
    <s v="South"/>
    <s v="Furniture"/>
    <n v="853.86"/>
    <n v="8"/>
    <n v="0.1"/>
    <d v="2024-11-26T00:00:00"/>
    <n v="268.97000000000003"/>
  </r>
  <r>
    <x v="12"/>
    <s v="South"/>
    <s v="Electronics"/>
    <n v="1061.04"/>
    <n v="1"/>
    <n v="0"/>
    <d v="2024-11-28T00:00:00"/>
    <n v="265.26"/>
  </r>
  <r>
    <x v="11"/>
    <s v="West"/>
    <s v="Electronics"/>
    <n v="894.55"/>
    <n v="19"/>
    <n v="0.2"/>
    <d v="2024-11-29T00:00:00"/>
    <n v="178.91"/>
  </r>
  <r>
    <x v="9"/>
    <s v="North"/>
    <s v="Office Supplies"/>
    <n v="833.91"/>
    <n v="3"/>
    <n v="0.05"/>
    <d v="2024-11-30T00:00:00"/>
    <n v="356.5"/>
  </r>
  <r>
    <x v="26"/>
    <s v="West"/>
    <s v="Furniture"/>
    <n v="820.19"/>
    <n v="4"/>
    <n v="0.2"/>
    <d v="2024-12-04T00:00:00"/>
    <n v="229.65"/>
  </r>
  <r>
    <x v="9"/>
    <s v="Central"/>
    <s v="Electronics"/>
    <n v="511.74"/>
    <n v="8"/>
    <n v="0.05"/>
    <d v="2024-12-05T00:00:00"/>
    <n v="121.54"/>
  </r>
  <r>
    <x v="21"/>
    <s v="South"/>
    <s v="Furniture"/>
    <n v="806.03"/>
    <n v="19"/>
    <n v="0.05"/>
    <d v="2024-12-12T00:00:00"/>
    <n v="268"/>
  </r>
  <r>
    <x v="4"/>
    <s v="Central"/>
    <s v="Furniture"/>
    <n v="1432.47"/>
    <n v="16"/>
    <n v="0.15"/>
    <d v="2024-12-14T00:00:00"/>
    <n v="426.16"/>
  </r>
  <r>
    <x v="5"/>
    <s v="Central"/>
    <s v="Electronics"/>
    <n v="1488.58"/>
    <n v="10"/>
    <n v="0.15"/>
    <d v="2024-12-14T00:00:00"/>
    <n v="316.32"/>
  </r>
  <r>
    <x v="24"/>
    <s v="East"/>
    <s v="Books"/>
    <n v="1231.26"/>
    <n v="9"/>
    <n v="0"/>
    <d v="2024-12-20T00:00:00"/>
    <n v="492.5"/>
  </r>
  <r>
    <x v="11"/>
    <s v="West"/>
    <s v="Electronics"/>
    <n v="1161.67"/>
    <n v="19"/>
    <n v="0.2"/>
    <d v="2024-12-21T00:00:00"/>
    <n v="232.33"/>
  </r>
  <r>
    <x v="12"/>
    <s v="Central"/>
    <s v="Office Supplies"/>
    <n v="388.23"/>
    <n v="16"/>
    <n v="0.05"/>
    <d v="2024-12-24T00:00:00"/>
    <n v="165.97"/>
  </r>
  <r>
    <x v="6"/>
    <s v="North"/>
    <s v="Clothing"/>
    <n v="1589.42"/>
    <n v="6"/>
    <n v="0.15"/>
    <d v="2024-12-25T00:00:00"/>
    <n v="675.5"/>
  </r>
  <r>
    <x v="26"/>
    <s v="North"/>
    <s v="Clothing"/>
    <n v="336.66"/>
    <n v="13"/>
    <n v="0.2"/>
    <d v="2024-12-25T00:00:00"/>
    <n v="134.66"/>
  </r>
  <r>
    <x v="3"/>
    <s v="West"/>
    <s v="Books"/>
    <n v="1353.79"/>
    <n v="14"/>
    <n v="0.1"/>
    <d v="2024-12-30T00:00:00"/>
    <n v="487.36"/>
  </r>
  <r>
    <x v="25"/>
    <s v="Central"/>
    <s v="Clothing"/>
    <n v="662.61"/>
    <n v="11"/>
    <n v="0.05"/>
    <d v="2025-01-01T00:00:00"/>
    <n v="314.74"/>
  </r>
  <r>
    <x v="14"/>
    <s v="North"/>
    <s v="Office Supplies"/>
    <n v="309.42"/>
    <n v="1"/>
    <n v="0.2"/>
    <d v="2025-01-01T00:00:00"/>
    <n v="111.39"/>
  </r>
  <r>
    <x v="5"/>
    <s v="North"/>
    <s v="Books"/>
    <n v="884.63"/>
    <n v="18"/>
    <n v="0.1"/>
    <d v="2025-01-02T00:00:00"/>
    <n v="318.47000000000003"/>
  </r>
  <r>
    <x v="3"/>
    <s v="Central"/>
    <s v="Office Supplies"/>
    <n v="745.05"/>
    <n v="10"/>
    <n v="0.1"/>
    <d v="2025-01-03T00:00:00"/>
    <n v="301.75"/>
  </r>
  <r>
    <x v="2"/>
    <s v="South"/>
    <s v="Clothing"/>
    <n v="870.23"/>
    <n v="5"/>
    <n v="0.05"/>
    <d v="2025-01-03T00:00:00"/>
    <n v="413.36"/>
  </r>
  <r>
    <x v="5"/>
    <s v="West"/>
    <s v="Furniture"/>
    <n v="862.19"/>
    <n v="18"/>
    <n v="0.05"/>
    <d v="2025-01-06T00:00:00"/>
    <n v="286.68"/>
  </r>
  <r>
    <x v="20"/>
    <s v="North"/>
    <s v="Clothing"/>
    <n v="1171.18"/>
    <n v="19"/>
    <n v="0.05"/>
    <d v="2025-01-10T00:00:00"/>
    <n v="556.30999999999995"/>
  </r>
  <r>
    <x v="1"/>
    <s v="South"/>
    <s v="Furniture"/>
    <n v="1054.56"/>
    <n v="11"/>
    <n v="0.1"/>
    <d v="2025-01-12T00:00:00"/>
    <n v="332.19"/>
  </r>
  <r>
    <x v="3"/>
    <s v="North"/>
    <s v="Electronics"/>
    <n v="1681.21"/>
    <n v="5"/>
    <n v="0.2"/>
    <d v="2025-01-13T00:00:00"/>
    <n v="336.24"/>
  </r>
  <r>
    <x v="8"/>
    <s v="West"/>
    <s v="Clothing"/>
    <n v="379.77"/>
    <n v="9"/>
    <n v="0.05"/>
    <d v="2025-01-16T00:00:00"/>
    <n v="180.39"/>
  </r>
  <r>
    <x v="12"/>
    <s v="Central"/>
    <s v="Clothing"/>
    <n v="1076.33"/>
    <n v="2"/>
    <n v="0.1"/>
    <d v="2025-01-17T00:00:00"/>
    <n v="484.35"/>
  </r>
  <r>
    <x v="6"/>
    <s v="Central"/>
    <s v="Office Supplies"/>
    <n v="1250.71"/>
    <n v="7"/>
    <n v="0"/>
    <d v="2025-01-17T00:00:00"/>
    <n v="562.82000000000005"/>
  </r>
  <r>
    <x v="2"/>
    <s v="South"/>
    <s v="Clothing"/>
    <n v="1118.3399999999999"/>
    <n v="6"/>
    <n v="0.2"/>
    <d v="2025-01-17T00:00:00"/>
    <n v="447.34"/>
  </r>
  <r>
    <x v="17"/>
    <s v="North"/>
    <s v="Clothing"/>
    <n v="1622.62"/>
    <n v="12"/>
    <n v="0.2"/>
    <d v="2025-01-20T00:00:00"/>
    <n v="649.04999999999995"/>
  </r>
  <r>
    <x v="14"/>
    <s v="North"/>
    <s v="Books"/>
    <n v="640.64"/>
    <n v="11"/>
    <n v="0.2"/>
    <d v="2025-01-21T00:00:00"/>
    <n v="205"/>
  </r>
  <r>
    <x v="11"/>
    <s v="West"/>
    <s v="Clothing"/>
    <n v="585.16"/>
    <n v="17"/>
    <n v="0.1"/>
    <d v="2025-01-27T00:00:00"/>
    <n v="263.32"/>
  </r>
  <r>
    <x v="6"/>
    <s v="East"/>
    <s v="Clothing"/>
    <n v="1109.98"/>
    <n v="5"/>
    <n v="0.2"/>
    <d v="2025-02-02T00:00:00"/>
    <n v="443.99"/>
  </r>
  <r>
    <x v="12"/>
    <s v="East"/>
    <s v="Books"/>
    <n v="1098.08"/>
    <n v="9"/>
    <n v="0.1"/>
    <d v="2025-02-04T00:00:00"/>
    <n v="395.31"/>
  </r>
  <r>
    <x v="14"/>
    <s v="West"/>
    <s v="Office Supplies"/>
    <n v="827.25"/>
    <n v="7"/>
    <n v="0.1"/>
    <d v="2025-02-05T00:00:00"/>
    <n v="335.04"/>
  </r>
  <r>
    <x v="5"/>
    <s v="Central"/>
    <s v="Clothing"/>
    <n v="741.88"/>
    <n v="16"/>
    <n v="0.1"/>
    <d v="2025-02-07T00:00:00"/>
    <n v="333.85"/>
  </r>
  <r>
    <x v="0"/>
    <s v="East"/>
    <s v="Office Supplies"/>
    <n v="1311.26"/>
    <n v="6"/>
    <n v="0.1"/>
    <d v="2025-02-10T00:00:00"/>
    <n v="531.05999999999995"/>
  </r>
  <r>
    <x v="6"/>
    <s v="South"/>
    <s v="Office Supplies"/>
    <n v="573.32000000000005"/>
    <n v="19"/>
    <n v="0.1"/>
    <d v="2025-02-15T00:00:00"/>
    <n v="232.19"/>
  </r>
  <r>
    <x v="3"/>
    <s v="West"/>
    <s v="Electronics"/>
    <n v="1115.22"/>
    <n v="14"/>
    <n v="0.2"/>
    <d v="2025-02-17T00:00:00"/>
    <n v="223.04"/>
  </r>
  <r>
    <x v="12"/>
    <s v="North"/>
    <s v="Clothing"/>
    <n v="845.84"/>
    <n v="4"/>
    <n v="0"/>
    <d v="2025-02-19T00:00:00"/>
    <n v="422.92"/>
  </r>
  <r>
    <x v="18"/>
    <s v="West"/>
    <s v="Electronics"/>
    <n v="1029.8"/>
    <n v="3"/>
    <n v="0"/>
    <d v="2025-02-20T00:00:00"/>
    <n v="257.45"/>
  </r>
  <r>
    <x v="6"/>
    <s v="North"/>
    <s v="Books"/>
    <n v="1189.83"/>
    <n v="2"/>
    <n v="0.2"/>
    <d v="2025-02-21T00:00:00"/>
    <n v="380.75"/>
  </r>
  <r>
    <x v="11"/>
    <s v="South"/>
    <s v="Books"/>
    <n v="704.28"/>
    <n v="15"/>
    <n v="0.2"/>
    <d v="2025-02-24T00:00:00"/>
    <n v="225.37"/>
  </r>
  <r>
    <x v="13"/>
    <s v="Central"/>
    <s v="Office Supplies"/>
    <n v="1618.22"/>
    <n v="12"/>
    <n v="0.2"/>
    <d v="2025-02-24T00:00:00"/>
    <n v="582.55999999999995"/>
  </r>
  <r>
    <x v="17"/>
    <s v="Central"/>
    <s v="Books"/>
    <n v="1014.43"/>
    <n v="2"/>
    <n v="0.15"/>
    <d v="2025-02-25T00:00:00"/>
    <n v="344.91"/>
  </r>
  <r>
    <x v="6"/>
    <s v="Central"/>
    <s v="Clothing"/>
    <n v="826.97"/>
    <n v="18"/>
    <n v="0.2"/>
    <d v="2025-02-27T00:00:00"/>
    <n v="330.79"/>
  </r>
  <r>
    <x v="6"/>
    <s v="Central"/>
    <s v="Clothing"/>
    <n v="1022.23"/>
    <n v="8"/>
    <n v="0.1"/>
    <d v="2025-03-01T00:00:00"/>
    <n v="460"/>
  </r>
  <r>
    <x v="5"/>
    <s v="East"/>
    <s v="Books"/>
    <n v="1099.69"/>
    <n v="6"/>
    <n v="0"/>
    <d v="2025-03-02T00:00:00"/>
    <n v="439.88"/>
  </r>
  <r>
    <x v="23"/>
    <s v="North"/>
    <s v="Books"/>
    <n v="710.52"/>
    <n v="8"/>
    <n v="0.1"/>
    <d v="2025-03-05T00:00:00"/>
    <n v="255.79"/>
  </r>
  <r>
    <x v="20"/>
    <s v="North"/>
    <s v="Books"/>
    <n v="499.18"/>
    <n v="15"/>
    <n v="0.2"/>
    <d v="2025-03-08T00:00:00"/>
    <n v="159.74"/>
  </r>
  <r>
    <x v="9"/>
    <s v="South"/>
    <s v="Books"/>
    <n v="1064.19"/>
    <n v="18"/>
    <n v="0.05"/>
    <d v="2025-03-09T00:00:00"/>
    <n v="404.39"/>
  </r>
  <r>
    <x v="9"/>
    <s v="East"/>
    <s v="Office Supplies"/>
    <n v="438.76"/>
    <n v="18"/>
    <n v="0.05"/>
    <d v="2025-03-10T00:00:00"/>
    <n v="187.57"/>
  </r>
  <r>
    <x v="18"/>
    <s v="West"/>
    <s v="Clothing"/>
    <n v="864.98"/>
    <n v="2"/>
    <n v="0.05"/>
    <d v="2025-03-11T00:00:00"/>
    <n v="410.87"/>
  </r>
  <r>
    <x v="18"/>
    <s v="West"/>
    <s v="Furniture"/>
    <n v="984.93"/>
    <n v="14"/>
    <n v="0.2"/>
    <d v="2025-03-17T00:00:00"/>
    <n v="275.77999999999997"/>
  </r>
  <r>
    <x v="18"/>
    <s v="West"/>
    <s v="Clothing"/>
    <n v="1493.49"/>
    <n v="18"/>
    <n v="0"/>
    <d v="2025-03-18T00:00:00"/>
    <n v="746.74"/>
  </r>
  <r>
    <x v="17"/>
    <s v="South"/>
    <s v="Clothing"/>
    <n v="689.43"/>
    <n v="9"/>
    <n v="0.1"/>
    <d v="2025-03-20T00:00:00"/>
    <n v="310.24"/>
  </r>
  <r>
    <x v="20"/>
    <s v="South"/>
    <s v="Clothing"/>
    <n v="682.24"/>
    <n v="1"/>
    <n v="0"/>
    <d v="2025-03-22T00:00:00"/>
    <n v="341.12"/>
  </r>
  <r>
    <x v="4"/>
    <s v="North"/>
    <s v="Electronics"/>
    <n v="458.54"/>
    <n v="15"/>
    <n v="0.2"/>
    <d v="2025-03-25T00:00:00"/>
    <n v="91.71"/>
  </r>
  <r>
    <x v="4"/>
    <s v="South"/>
    <s v="Furniture"/>
    <n v="1184.25"/>
    <n v="11"/>
    <n v="0.2"/>
    <d v="2025-03-26T00:00:00"/>
    <n v="331.59"/>
  </r>
  <r>
    <x v="0"/>
    <s v="South"/>
    <s v="Clothing"/>
    <n v="762.14"/>
    <n v="9"/>
    <n v="0"/>
    <d v="2025-03-27T00:00:00"/>
    <n v="381.07"/>
  </r>
  <r>
    <x v="17"/>
    <s v="North"/>
    <s v="Books"/>
    <n v="750.71"/>
    <n v="10"/>
    <n v="0.15"/>
    <d v="2025-03-27T00:00:00"/>
    <n v="255.24"/>
  </r>
  <r>
    <x v="26"/>
    <s v="Central"/>
    <s v="Clothing"/>
    <n v="1456.94"/>
    <n v="14"/>
    <n v="0.05"/>
    <d v="2025-03-29T00:00:00"/>
    <n v="692.05"/>
  </r>
  <r>
    <x v="21"/>
    <s v="East"/>
    <s v="Furniture"/>
    <n v="1093.3800000000001"/>
    <n v="17"/>
    <n v="0.1"/>
    <d v="2025-03-29T00:00:00"/>
    <n v="344.41"/>
  </r>
  <r>
    <x v="11"/>
    <s v="West"/>
    <s v="Clothing"/>
    <n v="934.27"/>
    <n v="8"/>
    <n v="0.15"/>
    <d v="2025-03-30T00:00:00"/>
    <n v="397.06"/>
  </r>
  <r>
    <x v="8"/>
    <s v="Central"/>
    <s v="Clothing"/>
    <n v="1465.35"/>
    <n v="8"/>
    <n v="0.2"/>
    <d v="2025-03-30T00:00:00"/>
    <n v="586.14"/>
  </r>
  <r>
    <x v="1"/>
    <s v="South"/>
    <s v="Office Supplies"/>
    <n v="740.8"/>
    <n v="3"/>
    <n v="0"/>
    <d v="2025-04-02T00:00:00"/>
    <n v="333.36"/>
  </r>
  <r>
    <x v="11"/>
    <s v="West"/>
    <s v="Office Supplies"/>
    <n v="545.44000000000005"/>
    <n v="17"/>
    <n v="0"/>
    <d v="2025-04-05T00:00:00"/>
    <n v="245.45"/>
  </r>
  <r>
    <x v="8"/>
    <s v="East"/>
    <s v="Books"/>
    <n v="997.61"/>
    <n v="8"/>
    <n v="0.05"/>
    <d v="2025-04-05T00:00:00"/>
    <n v="379.09"/>
  </r>
  <r>
    <x v="8"/>
    <s v="South"/>
    <s v="Clothing"/>
    <n v="928.32"/>
    <n v="2"/>
    <n v="0.05"/>
    <d v="2025-04-07T00:00:00"/>
    <n v="440.95"/>
  </r>
</pivotCacheRecords>
</file>

<file path=xl/pivotCache/pivotCacheRecords3.xml><?xml version="1.0" encoding="utf-8"?>
<pivotCacheRecords xmlns="http://schemas.openxmlformats.org/spreadsheetml/2006/main" xmlns:r="http://schemas.openxmlformats.org/officeDocument/2006/relationships" count="200">
  <r>
    <s v="CUST019"/>
    <x v="0"/>
    <x v="0"/>
    <x v="0"/>
    <n v="1036.0899999999999"/>
    <n v="4"/>
    <n v="0.2"/>
    <d v="2024-04-10T00:00:00"/>
    <n v="331.55"/>
    <x v="0"/>
  </r>
  <r>
    <s v="CUST012"/>
    <x v="1"/>
    <x v="0"/>
    <x v="1"/>
    <n v="1101.28"/>
    <n v="3"/>
    <n v="0.2"/>
    <d v="2024-04-11T00:00:00"/>
    <n v="440.51"/>
    <x v="0"/>
  </r>
  <r>
    <s v="CUST017"/>
    <x v="2"/>
    <x v="1"/>
    <x v="0"/>
    <n v="713.34"/>
    <n v="17"/>
    <n v="0"/>
    <d v="2024-04-14T00:00:00"/>
    <n v="285.33999999999997"/>
    <x v="0"/>
  </r>
  <r>
    <s v="CUST005"/>
    <x v="1"/>
    <x v="2"/>
    <x v="2"/>
    <n v="760.93"/>
    <n v="4"/>
    <n v="0.15"/>
    <d v="2024-04-14T00:00:00"/>
    <n v="161.69999999999999"/>
    <x v="0"/>
  </r>
  <r>
    <s v="CUST030"/>
    <x v="3"/>
    <x v="3"/>
    <x v="0"/>
    <n v="847"/>
    <n v="12"/>
    <n v="0.2"/>
    <d v="2024-04-15T00:00:00"/>
    <n v="271.04000000000002"/>
    <x v="0"/>
  </r>
  <r>
    <s v="CUST007"/>
    <x v="4"/>
    <x v="3"/>
    <x v="3"/>
    <n v="965.64"/>
    <n v="8"/>
    <n v="0.1"/>
    <d v="2024-04-16T00:00:00"/>
    <n v="304.18"/>
    <x v="0"/>
  </r>
  <r>
    <s v="CUST001"/>
    <x v="5"/>
    <x v="0"/>
    <x v="2"/>
    <n v="1317.53"/>
    <n v="12"/>
    <n v="0.05"/>
    <d v="2024-04-16T00:00:00"/>
    <n v="312.91000000000003"/>
    <x v="0"/>
  </r>
  <r>
    <s v="CUST026"/>
    <x v="6"/>
    <x v="1"/>
    <x v="3"/>
    <n v="1074.47"/>
    <n v="6"/>
    <n v="0.2"/>
    <d v="2024-04-19T00:00:00"/>
    <n v="300.85000000000002"/>
    <x v="0"/>
  </r>
  <r>
    <s v="CUST009"/>
    <x v="7"/>
    <x v="4"/>
    <x v="0"/>
    <n v="501.54"/>
    <n v="11"/>
    <n v="0.05"/>
    <d v="2024-04-19T00:00:00"/>
    <n v="190.59"/>
    <x v="0"/>
  </r>
  <r>
    <s v="CUST010"/>
    <x v="8"/>
    <x v="4"/>
    <x v="1"/>
    <n v="737.31"/>
    <n v="2"/>
    <n v="0.05"/>
    <d v="2024-04-19T00:00:00"/>
    <n v="350.22"/>
    <x v="0"/>
  </r>
  <r>
    <s v="CUST014"/>
    <x v="9"/>
    <x v="0"/>
    <x v="4"/>
    <n v="1572.82"/>
    <n v="6"/>
    <n v="0.05"/>
    <d v="2024-04-20T00:00:00"/>
    <n v="672.38"/>
    <x v="0"/>
  </r>
  <r>
    <s v="CUST014"/>
    <x v="8"/>
    <x v="4"/>
    <x v="0"/>
    <n v="1343.13"/>
    <n v="14"/>
    <n v="0.15"/>
    <d v="2024-04-22T00:00:00"/>
    <n v="456.66"/>
    <x v="0"/>
  </r>
  <r>
    <s v="CUST007"/>
    <x v="4"/>
    <x v="4"/>
    <x v="0"/>
    <n v="1191.58"/>
    <n v="14"/>
    <n v="0.05"/>
    <d v="2024-04-24T00:00:00"/>
    <n v="452.8"/>
    <x v="0"/>
  </r>
  <r>
    <s v="CUST023"/>
    <x v="1"/>
    <x v="0"/>
    <x v="3"/>
    <n v="822.28"/>
    <n v="7"/>
    <n v="0.05"/>
    <d v="2024-04-24T00:00:00"/>
    <n v="273.41000000000003"/>
    <x v="0"/>
  </r>
  <r>
    <s v="CUST029"/>
    <x v="10"/>
    <x v="3"/>
    <x v="3"/>
    <n v="521.66999999999996"/>
    <n v="15"/>
    <n v="0.15"/>
    <d v="2024-04-27T00:00:00"/>
    <n v="155.19999999999999"/>
    <x v="0"/>
  </r>
  <r>
    <s v="CUST005"/>
    <x v="11"/>
    <x v="2"/>
    <x v="2"/>
    <n v="1502.93"/>
    <n v="14"/>
    <n v="0.2"/>
    <d v="2024-04-28T00:00:00"/>
    <n v="300.58999999999997"/>
    <x v="0"/>
  </r>
  <r>
    <s v="CUST008"/>
    <x v="1"/>
    <x v="2"/>
    <x v="0"/>
    <n v="877.58"/>
    <n v="10"/>
    <n v="0.15"/>
    <d v="2024-04-29T00:00:00"/>
    <n v="298.38"/>
    <x v="0"/>
  </r>
  <r>
    <s v="CUST001"/>
    <x v="12"/>
    <x v="0"/>
    <x v="0"/>
    <n v="636.70000000000005"/>
    <n v="4"/>
    <n v="0.2"/>
    <d v="2024-04-29T00:00:00"/>
    <n v="203.74"/>
    <x v="0"/>
  </r>
  <r>
    <s v="CUST006"/>
    <x v="13"/>
    <x v="0"/>
    <x v="0"/>
    <n v="1506.14"/>
    <n v="13"/>
    <n v="0.2"/>
    <d v="2024-04-30T00:00:00"/>
    <n v="481.96"/>
    <x v="0"/>
  </r>
  <r>
    <s v="CUST026"/>
    <x v="6"/>
    <x v="4"/>
    <x v="2"/>
    <n v="645.02"/>
    <n v="4"/>
    <n v="0"/>
    <d v="2024-05-02T00:00:00"/>
    <n v="161.26"/>
    <x v="1"/>
  </r>
  <r>
    <s v="CUST007"/>
    <x v="14"/>
    <x v="2"/>
    <x v="1"/>
    <n v="953.3"/>
    <n v="11"/>
    <n v="0"/>
    <d v="2024-05-03T00:00:00"/>
    <n v="476.65"/>
    <x v="1"/>
  </r>
  <r>
    <s v="CUST022"/>
    <x v="1"/>
    <x v="3"/>
    <x v="2"/>
    <n v="388.56"/>
    <n v="14"/>
    <n v="0.15"/>
    <d v="2024-05-04T00:00:00"/>
    <n v="82.57"/>
    <x v="1"/>
  </r>
  <r>
    <s v="CUST019"/>
    <x v="6"/>
    <x v="0"/>
    <x v="0"/>
    <n v="743.17"/>
    <n v="9"/>
    <n v="0"/>
    <d v="2024-05-04T00:00:00"/>
    <n v="297.27"/>
    <x v="1"/>
  </r>
  <r>
    <s v="CUST023"/>
    <x v="6"/>
    <x v="4"/>
    <x v="2"/>
    <n v="706.37"/>
    <n v="6"/>
    <n v="0"/>
    <d v="2024-05-04T00:00:00"/>
    <n v="176.59"/>
    <x v="1"/>
  </r>
  <r>
    <s v="CUST012"/>
    <x v="6"/>
    <x v="4"/>
    <x v="4"/>
    <n v="925.31"/>
    <n v="8"/>
    <n v="0.1"/>
    <d v="2024-05-06T00:00:00"/>
    <n v="374.75"/>
    <x v="1"/>
  </r>
  <r>
    <s v="CUST010"/>
    <x v="15"/>
    <x v="2"/>
    <x v="2"/>
    <n v="1173.1199999999999"/>
    <n v="18"/>
    <n v="0"/>
    <d v="2024-05-06T00:00:00"/>
    <n v="293.27999999999997"/>
    <x v="1"/>
  </r>
  <r>
    <s v="CUST030"/>
    <x v="16"/>
    <x v="3"/>
    <x v="3"/>
    <n v="675.54"/>
    <n v="17"/>
    <n v="0"/>
    <d v="2024-05-08T00:00:00"/>
    <n v="236.44"/>
    <x v="1"/>
  </r>
  <r>
    <s v="CUST007"/>
    <x v="1"/>
    <x v="4"/>
    <x v="0"/>
    <n v="939.09"/>
    <n v="2"/>
    <n v="0.05"/>
    <d v="2024-05-10T00:00:00"/>
    <n v="356.85"/>
    <x v="1"/>
  </r>
  <r>
    <s v="CUST028"/>
    <x v="17"/>
    <x v="1"/>
    <x v="4"/>
    <n v="983.34"/>
    <n v="19"/>
    <n v="0.1"/>
    <d v="2024-05-14T00:00:00"/>
    <n v="398.25"/>
    <x v="1"/>
  </r>
  <r>
    <s v="CUST028"/>
    <x v="3"/>
    <x v="2"/>
    <x v="2"/>
    <n v="801.21"/>
    <n v="3"/>
    <n v="0.2"/>
    <d v="2024-05-14T00:00:00"/>
    <n v="160.24"/>
    <x v="1"/>
  </r>
  <r>
    <s v="CUST025"/>
    <x v="18"/>
    <x v="3"/>
    <x v="2"/>
    <n v="1450.71"/>
    <n v="5"/>
    <n v="0.1"/>
    <d v="2024-05-15T00:00:00"/>
    <n v="326.41000000000003"/>
    <x v="1"/>
  </r>
  <r>
    <s v="CUST022"/>
    <x v="19"/>
    <x v="4"/>
    <x v="0"/>
    <n v="1023.21"/>
    <n v="18"/>
    <n v="0.05"/>
    <d v="2024-05-16T00:00:00"/>
    <n v="388.82"/>
    <x v="1"/>
  </r>
  <r>
    <s v="CUST001"/>
    <x v="13"/>
    <x v="0"/>
    <x v="3"/>
    <n v="853.72"/>
    <n v="5"/>
    <n v="0.15"/>
    <d v="2024-05-16T00:00:00"/>
    <n v="253.98"/>
    <x v="1"/>
  </r>
  <r>
    <s v="CUST021"/>
    <x v="11"/>
    <x v="2"/>
    <x v="2"/>
    <n v="967.89"/>
    <n v="10"/>
    <n v="0.1"/>
    <d v="2024-05-17T00:00:00"/>
    <n v="217.78"/>
    <x v="1"/>
  </r>
  <r>
    <s v="CUST015"/>
    <x v="17"/>
    <x v="3"/>
    <x v="4"/>
    <n v="1200.9000000000001"/>
    <n v="14"/>
    <n v="0.05"/>
    <d v="2024-05-17T00:00:00"/>
    <n v="513.38"/>
    <x v="1"/>
  </r>
  <r>
    <s v="CUST012"/>
    <x v="4"/>
    <x v="0"/>
    <x v="0"/>
    <n v="472.38"/>
    <n v="12"/>
    <n v="0.2"/>
    <d v="2024-05-17T00:00:00"/>
    <n v="151.16"/>
    <x v="1"/>
  </r>
  <r>
    <s v="CUST019"/>
    <x v="18"/>
    <x v="1"/>
    <x v="4"/>
    <n v="840.92"/>
    <n v="9"/>
    <n v="0.05"/>
    <d v="2024-05-17T00:00:00"/>
    <n v="359.49"/>
    <x v="1"/>
  </r>
  <r>
    <s v="CUST028"/>
    <x v="14"/>
    <x v="4"/>
    <x v="3"/>
    <n v="1410.06"/>
    <n v="11"/>
    <n v="0.05"/>
    <d v="2024-05-22T00:00:00"/>
    <n v="468.84"/>
    <x v="1"/>
  </r>
  <r>
    <s v="CUST008"/>
    <x v="20"/>
    <x v="4"/>
    <x v="3"/>
    <n v="773.09"/>
    <n v="13"/>
    <n v="0.15"/>
    <d v="2024-05-22T00:00:00"/>
    <n v="229.99"/>
    <x v="1"/>
  </r>
  <r>
    <s v="CUST016"/>
    <x v="21"/>
    <x v="1"/>
    <x v="0"/>
    <n v="580.42999999999995"/>
    <n v="19"/>
    <n v="0.15"/>
    <d v="2024-05-23T00:00:00"/>
    <n v="197.35"/>
    <x v="1"/>
  </r>
  <r>
    <s v="CUST005"/>
    <x v="10"/>
    <x v="2"/>
    <x v="0"/>
    <n v="1151.21"/>
    <n v="15"/>
    <n v="0.1"/>
    <d v="2024-06-02T00:00:00"/>
    <n v="414.44"/>
    <x v="2"/>
  </r>
  <r>
    <s v="CUST028"/>
    <x v="3"/>
    <x v="4"/>
    <x v="4"/>
    <n v="1025.98"/>
    <n v="5"/>
    <n v="0.2"/>
    <d v="2024-06-04T00:00:00"/>
    <n v="369.35"/>
    <x v="2"/>
  </r>
  <r>
    <s v="CUST023"/>
    <x v="19"/>
    <x v="1"/>
    <x v="4"/>
    <n v="556.41999999999996"/>
    <n v="11"/>
    <n v="0.15"/>
    <d v="2024-06-04T00:00:00"/>
    <n v="212.83"/>
    <x v="2"/>
  </r>
  <r>
    <s v="CUST021"/>
    <x v="3"/>
    <x v="4"/>
    <x v="0"/>
    <n v="840.85"/>
    <n v="19"/>
    <n v="0.1"/>
    <d v="2024-06-05T00:00:00"/>
    <n v="302.70999999999998"/>
    <x v="2"/>
  </r>
  <r>
    <s v="CUST026"/>
    <x v="21"/>
    <x v="3"/>
    <x v="3"/>
    <n v="1227.25"/>
    <n v="12"/>
    <n v="0.15"/>
    <d v="2024-06-05T00:00:00"/>
    <n v="365.11"/>
    <x v="2"/>
  </r>
  <r>
    <s v="CUST017"/>
    <x v="22"/>
    <x v="4"/>
    <x v="2"/>
    <n v="856.7"/>
    <n v="2"/>
    <n v="0"/>
    <d v="2024-06-06T00:00:00"/>
    <n v="214.18"/>
    <x v="2"/>
  </r>
  <r>
    <s v="CUST025"/>
    <x v="19"/>
    <x v="4"/>
    <x v="4"/>
    <n v="1225.42"/>
    <n v="8"/>
    <n v="0.15"/>
    <d v="2024-06-06T00:00:00"/>
    <n v="468.72"/>
    <x v="2"/>
  </r>
  <r>
    <s v="CUST011"/>
    <x v="6"/>
    <x v="3"/>
    <x v="4"/>
    <n v="1001.57"/>
    <n v="12"/>
    <n v="0"/>
    <d v="2024-06-07T00:00:00"/>
    <n v="450.71"/>
    <x v="2"/>
  </r>
  <r>
    <s v="CUST021"/>
    <x v="4"/>
    <x v="1"/>
    <x v="3"/>
    <n v="1186.8499999999999"/>
    <n v="19"/>
    <n v="0.2"/>
    <d v="2024-06-08T00:00:00"/>
    <n v="332.32"/>
    <x v="2"/>
  </r>
  <r>
    <s v="CUST008"/>
    <x v="16"/>
    <x v="2"/>
    <x v="2"/>
    <n v="775.45"/>
    <n v="6"/>
    <n v="0.1"/>
    <d v="2024-06-14T00:00:00"/>
    <n v="174.48"/>
    <x v="2"/>
  </r>
  <r>
    <s v="CUST007"/>
    <x v="7"/>
    <x v="2"/>
    <x v="2"/>
    <n v="1021.47"/>
    <n v="6"/>
    <n v="0.05"/>
    <d v="2024-06-18T00:00:00"/>
    <n v="242.6"/>
    <x v="2"/>
  </r>
  <r>
    <s v="CUST015"/>
    <x v="3"/>
    <x v="2"/>
    <x v="1"/>
    <n v="1226.6199999999999"/>
    <n v="7"/>
    <n v="0.1"/>
    <d v="2024-06-20T00:00:00"/>
    <n v="551.98"/>
    <x v="2"/>
  </r>
  <r>
    <s v="CUST030"/>
    <x v="23"/>
    <x v="2"/>
    <x v="3"/>
    <n v="1086.93"/>
    <n v="2"/>
    <n v="0"/>
    <d v="2024-06-21T00:00:00"/>
    <n v="380.43"/>
    <x v="2"/>
  </r>
  <r>
    <s v="CUST002"/>
    <x v="14"/>
    <x v="0"/>
    <x v="0"/>
    <n v="942.9"/>
    <n v="18"/>
    <n v="0.1"/>
    <d v="2024-06-23T00:00:00"/>
    <n v="339.44"/>
    <x v="2"/>
  </r>
  <r>
    <s v="CUST009"/>
    <x v="9"/>
    <x v="3"/>
    <x v="2"/>
    <n v="818.8"/>
    <n v="15"/>
    <n v="0.15"/>
    <d v="2024-06-25T00:00:00"/>
    <n v="173.99"/>
    <x v="2"/>
  </r>
  <r>
    <s v="CUST005"/>
    <x v="1"/>
    <x v="2"/>
    <x v="3"/>
    <n v="919.04"/>
    <n v="10"/>
    <n v="0.2"/>
    <d v="2024-06-25T00:00:00"/>
    <n v="257.33"/>
    <x v="2"/>
  </r>
  <r>
    <s v="CUST030"/>
    <x v="24"/>
    <x v="4"/>
    <x v="0"/>
    <n v="973.26"/>
    <n v="11"/>
    <n v="0"/>
    <d v="2024-06-27T00:00:00"/>
    <n v="389.3"/>
    <x v="2"/>
  </r>
  <r>
    <s v="CUST029"/>
    <x v="23"/>
    <x v="3"/>
    <x v="2"/>
    <n v="741.61"/>
    <n v="1"/>
    <n v="0.2"/>
    <d v="2024-06-28T00:00:00"/>
    <n v="148.32"/>
    <x v="2"/>
  </r>
  <r>
    <s v="CUST003"/>
    <x v="9"/>
    <x v="3"/>
    <x v="0"/>
    <n v="1248.82"/>
    <n v="2"/>
    <n v="0.1"/>
    <d v="2024-06-30T00:00:00"/>
    <n v="449.58"/>
    <x v="2"/>
  </r>
  <r>
    <s v="CUST012"/>
    <x v="20"/>
    <x v="0"/>
    <x v="1"/>
    <n v="1360.36"/>
    <n v="17"/>
    <n v="0"/>
    <d v="2024-06-30T00:00:00"/>
    <n v="680.18"/>
    <x v="2"/>
  </r>
  <r>
    <s v="CUST021"/>
    <x v="6"/>
    <x v="1"/>
    <x v="0"/>
    <n v="1383.3"/>
    <n v="8"/>
    <n v="0.1"/>
    <d v="2024-07-05T00:00:00"/>
    <n v="497.99"/>
    <x v="3"/>
  </r>
  <r>
    <s v="CUST010"/>
    <x v="18"/>
    <x v="4"/>
    <x v="4"/>
    <n v="488.99"/>
    <n v="9"/>
    <n v="0"/>
    <d v="2024-07-06T00:00:00"/>
    <n v="220.05"/>
    <x v="3"/>
  </r>
  <r>
    <s v="CUST026"/>
    <x v="6"/>
    <x v="1"/>
    <x v="3"/>
    <n v="933.71"/>
    <n v="17"/>
    <n v="0.1"/>
    <d v="2024-07-08T00:00:00"/>
    <n v="294.12"/>
    <x v="3"/>
  </r>
  <r>
    <s v="CUST003"/>
    <x v="0"/>
    <x v="0"/>
    <x v="2"/>
    <n v="1005.53"/>
    <n v="17"/>
    <n v="0.2"/>
    <d v="2024-07-08T00:00:00"/>
    <n v="201.11"/>
    <x v="3"/>
  </r>
  <r>
    <s v="CUST029"/>
    <x v="21"/>
    <x v="2"/>
    <x v="2"/>
    <n v="1100.0999999999999"/>
    <n v="5"/>
    <n v="0.05"/>
    <d v="2024-07-09T00:00:00"/>
    <n v="261.27"/>
    <x v="3"/>
  </r>
  <r>
    <s v="CUST003"/>
    <x v="3"/>
    <x v="3"/>
    <x v="3"/>
    <n v="1034.7"/>
    <n v="15"/>
    <n v="0.15"/>
    <d v="2024-07-14T00:00:00"/>
    <n v="307.82"/>
    <x v="3"/>
  </r>
  <r>
    <s v="CUST002"/>
    <x v="6"/>
    <x v="2"/>
    <x v="0"/>
    <n v="876.44"/>
    <n v="12"/>
    <n v="0.05"/>
    <d v="2024-07-15T00:00:00"/>
    <n v="333.05"/>
    <x v="3"/>
  </r>
  <r>
    <s v="CUST020"/>
    <x v="18"/>
    <x v="0"/>
    <x v="3"/>
    <n v="1371.34"/>
    <n v="5"/>
    <n v="0.05"/>
    <d v="2024-07-15T00:00:00"/>
    <n v="455.97"/>
    <x v="3"/>
  </r>
  <r>
    <s v="CUST021"/>
    <x v="13"/>
    <x v="3"/>
    <x v="2"/>
    <n v="1020.26"/>
    <n v="11"/>
    <n v="0.05"/>
    <d v="2024-07-21T00:00:00"/>
    <n v="242.31"/>
    <x v="3"/>
  </r>
  <r>
    <s v="CUST008"/>
    <x v="0"/>
    <x v="4"/>
    <x v="4"/>
    <n v="804.81"/>
    <n v="1"/>
    <n v="0.05"/>
    <d v="2024-07-29T00:00:00"/>
    <n v="344.06"/>
    <x v="3"/>
  </r>
  <r>
    <s v="CUST030"/>
    <x v="18"/>
    <x v="4"/>
    <x v="2"/>
    <n v="608.66"/>
    <n v="1"/>
    <n v="0.05"/>
    <d v="2024-07-30T00:00:00"/>
    <n v="144.56"/>
    <x v="3"/>
  </r>
  <r>
    <s v="CUST020"/>
    <x v="25"/>
    <x v="2"/>
    <x v="4"/>
    <n v="981.2"/>
    <n v="19"/>
    <n v="0"/>
    <d v="2024-07-31T00:00:00"/>
    <n v="441.54"/>
    <x v="3"/>
  </r>
  <r>
    <s v="CUST024"/>
    <x v="18"/>
    <x v="1"/>
    <x v="2"/>
    <n v="539.77"/>
    <n v="10"/>
    <n v="0.15"/>
    <d v="2024-08-05T00:00:00"/>
    <n v="114.7"/>
    <x v="4"/>
  </r>
  <r>
    <s v="CUST012"/>
    <x v="26"/>
    <x v="2"/>
    <x v="0"/>
    <n v="804.45"/>
    <n v="5"/>
    <n v="0.2"/>
    <d v="2024-08-05T00:00:00"/>
    <n v="257.42"/>
    <x v="4"/>
  </r>
  <r>
    <s v="CUST024"/>
    <x v="9"/>
    <x v="0"/>
    <x v="2"/>
    <n v="1526.6"/>
    <n v="13"/>
    <n v="0.2"/>
    <d v="2024-08-08T00:00:00"/>
    <n v="305.32"/>
    <x v="4"/>
  </r>
  <r>
    <s v="CUST012"/>
    <x v="5"/>
    <x v="0"/>
    <x v="2"/>
    <n v="1215.26"/>
    <n v="5"/>
    <n v="0.15"/>
    <d v="2024-08-09T00:00:00"/>
    <n v="258.24"/>
    <x v="4"/>
  </r>
  <r>
    <s v="CUST005"/>
    <x v="17"/>
    <x v="4"/>
    <x v="3"/>
    <n v="1261.3399999999999"/>
    <n v="3"/>
    <n v="0"/>
    <d v="2024-08-15T00:00:00"/>
    <n v="441.47"/>
    <x v="4"/>
  </r>
  <r>
    <s v="CUST004"/>
    <x v="12"/>
    <x v="3"/>
    <x v="3"/>
    <n v="518.07000000000005"/>
    <n v="7"/>
    <n v="0.05"/>
    <d v="2024-08-18T00:00:00"/>
    <n v="172.26"/>
    <x v="4"/>
  </r>
  <r>
    <s v="CUST026"/>
    <x v="5"/>
    <x v="0"/>
    <x v="4"/>
    <n v="1111.3399999999999"/>
    <n v="1"/>
    <n v="0"/>
    <d v="2024-08-19T00:00:00"/>
    <n v="500.1"/>
    <x v="4"/>
  </r>
  <r>
    <s v="CUST030"/>
    <x v="6"/>
    <x v="1"/>
    <x v="1"/>
    <n v="1291.47"/>
    <n v="18"/>
    <n v="0.1"/>
    <d v="2024-08-22T00:00:00"/>
    <n v="581.16"/>
    <x v="4"/>
  </r>
  <r>
    <s v="CUST007"/>
    <x v="18"/>
    <x v="3"/>
    <x v="0"/>
    <n v="679.71"/>
    <n v="19"/>
    <n v="0"/>
    <d v="2024-08-30T00:00:00"/>
    <n v="271.88"/>
    <x v="4"/>
  </r>
  <r>
    <s v="CUST020"/>
    <x v="7"/>
    <x v="1"/>
    <x v="3"/>
    <n v="1143.69"/>
    <n v="17"/>
    <n v="0"/>
    <d v="2024-08-30T00:00:00"/>
    <n v="400.29"/>
    <x v="4"/>
  </r>
  <r>
    <s v="CUST028"/>
    <x v="15"/>
    <x v="4"/>
    <x v="2"/>
    <n v="790.08"/>
    <n v="7"/>
    <n v="0.1"/>
    <d v="2024-09-01T00:00:00"/>
    <n v="177.77"/>
    <x v="5"/>
  </r>
  <r>
    <s v="CUST005"/>
    <x v="14"/>
    <x v="4"/>
    <x v="0"/>
    <n v="1070.68"/>
    <n v="7"/>
    <n v="0.05"/>
    <d v="2024-09-01T00:00:00"/>
    <n v="406.86"/>
    <x v="5"/>
  </r>
  <r>
    <s v="CUST015"/>
    <x v="8"/>
    <x v="0"/>
    <x v="1"/>
    <n v="1168.8900000000001"/>
    <n v="4"/>
    <n v="0.1"/>
    <d v="2024-09-09T00:00:00"/>
    <n v="526"/>
    <x v="5"/>
  </r>
  <r>
    <s v="CUST003"/>
    <x v="0"/>
    <x v="2"/>
    <x v="2"/>
    <n v="1335.87"/>
    <n v="17"/>
    <n v="0"/>
    <d v="2024-09-09T00:00:00"/>
    <n v="333.97"/>
    <x v="5"/>
  </r>
  <r>
    <s v="CUST023"/>
    <x v="18"/>
    <x v="1"/>
    <x v="3"/>
    <n v="873.7"/>
    <n v="9"/>
    <n v="0"/>
    <d v="2024-09-11T00:00:00"/>
    <n v="305.8"/>
    <x v="5"/>
  </r>
  <r>
    <s v="CUST004"/>
    <x v="23"/>
    <x v="0"/>
    <x v="4"/>
    <n v="1443.98"/>
    <n v="19"/>
    <n v="0"/>
    <d v="2024-09-12T00:00:00"/>
    <n v="649.79"/>
    <x v="5"/>
  </r>
  <r>
    <s v="CUST023"/>
    <x v="3"/>
    <x v="1"/>
    <x v="4"/>
    <n v="1154.33"/>
    <n v="11"/>
    <n v="0.15"/>
    <d v="2024-09-14T00:00:00"/>
    <n v="441.53"/>
    <x v="5"/>
  </r>
  <r>
    <s v="CUST022"/>
    <x v="15"/>
    <x v="2"/>
    <x v="0"/>
    <n v="1264.49"/>
    <n v="16"/>
    <n v="0.05"/>
    <d v="2024-09-14T00:00:00"/>
    <n v="480.51"/>
    <x v="5"/>
  </r>
  <r>
    <s v="CUST007"/>
    <x v="24"/>
    <x v="0"/>
    <x v="3"/>
    <n v="1101.55"/>
    <n v="4"/>
    <n v="0.1"/>
    <d v="2024-09-16T00:00:00"/>
    <n v="346.99"/>
    <x v="5"/>
  </r>
  <r>
    <s v="CUST013"/>
    <x v="1"/>
    <x v="2"/>
    <x v="3"/>
    <n v="727.73"/>
    <n v="1"/>
    <n v="0.1"/>
    <d v="2024-09-17T00:00:00"/>
    <n v="229.23"/>
    <x v="5"/>
  </r>
  <r>
    <s v="CUST027"/>
    <x v="9"/>
    <x v="1"/>
    <x v="4"/>
    <n v="875.41"/>
    <n v="13"/>
    <n v="0.15"/>
    <d v="2024-09-17T00:00:00"/>
    <n v="334.84"/>
    <x v="5"/>
  </r>
  <r>
    <s v="CUST003"/>
    <x v="3"/>
    <x v="0"/>
    <x v="2"/>
    <n v="1158.94"/>
    <n v="19"/>
    <n v="0.2"/>
    <d v="2024-09-18T00:00:00"/>
    <n v="231.79"/>
    <x v="5"/>
  </r>
  <r>
    <s v="CUST018"/>
    <x v="13"/>
    <x v="2"/>
    <x v="0"/>
    <n v="966.3"/>
    <n v="2"/>
    <n v="0.15"/>
    <d v="2024-09-22T00:00:00"/>
    <n v="328.54"/>
    <x v="5"/>
  </r>
  <r>
    <s v="CUST020"/>
    <x v="2"/>
    <x v="2"/>
    <x v="0"/>
    <n v="917.48"/>
    <n v="6"/>
    <n v="0"/>
    <d v="2024-09-23T00:00:00"/>
    <n v="366.99"/>
    <x v="5"/>
  </r>
  <r>
    <s v="CUST029"/>
    <x v="21"/>
    <x v="0"/>
    <x v="3"/>
    <n v="1172.97"/>
    <n v="7"/>
    <n v="0.15"/>
    <d v="2024-09-24T00:00:00"/>
    <n v="348.96"/>
    <x v="5"/>
  </r>
  <r>
    <s v="CUST021"/>
    <x v="3"/>
    <x v="3"/>
    <x v="1"/>
    <n v="1205.82"/>
    <n v="11"/>
    <n v="0.1"/>
    <d v="2024-09-24T00:00:00"/>
    <n v="542.62"/>
    <x v="5"/>
  </r>
  <r>
    <s v="CUST017"/>
    <x v="23"/>
    <x v="0"/>
    <x v="4"/>
    <n v="826.93"/>
    <n v="10"/>
    <n v="0.2"/>
    <d v="2024-09-29T00:00:00"/>
    <n v="297.69"/>
    <x v="5"/>
  </r>
  <r>
    <s v="CUST003"/>
    <x v="3"/>
    <x v="4"/>
    <x v="1"/>
    <n v="902.19"/>
    <n v="12"/>
    <n v="0"/>
    <d v="2024-09-29T00:00:00"/>
    <n v="451.1"/>
    <x v="5"/>
  </r>
  <r>
    <s v="CUST027"/>
    <x v="9"/>
    <x v="3"/>
    <x v="0"/>
    <n v="585.97"/>
    <n v="17"/>
    <n v="0.1"/>
    <d v="2024-09-30T00:00:00"/>
    <n v="210.95"/>
    <x v="5"/>
  </r>
  <r>
    <s v="CUST016"/>
    <x v="4"/>
    <x v="3"/>
    <x v="1"/>
    <n v="990.19"/>
    <n v="8"/>
    <n v="0.1"/>
    <d v="2024-09-30T00:00:00"/>
    <n v="445.59"/>
    <x v="5"/>
  </r>
  <r>
    <s v="CUST008"/>
    <x v="19"/>
    <x v="4"/>
    <x v="2"/>
    <n v="1014.09"/>
    <n v="13"/>
    <n v="0.2"/>
    <d v="2024-10-02T00:00:00"/>
    <n v="202.82"/>
    <x v="6"/>
  </r>
  <r>
    <s v="CUST012"/>
    <x v="14"/>
    <x v="3"/>
    <x v="2"/>
    <n v="925.29"/>
    <n v="17"/>
    <n v="0"/>
    <d v="2024-10-05T00:00:00"/>
    <n v="231.32"/>
    <x v="6"/>
  </r>
  <r>
    <s v="CUST025"/>
    <x v="13"/>
    <x v="1"/>
    <x v="3"/>
    <n v="1286.54"/>
    <n v="8"/>
    <n v="0"/>
    <d v="2024-10-10T00:00:00"/>
    <n v="450.29"/>
    <x v="6"/>
  </r>
  <r>
    <s v="CUST014"/>
    <x v="23"/>
    <x v="2"/>
    <x v="0"/>
    <n v="961.62"/>
    <n v="8"/>
    <n v="0.2"/>
    <d v="2024-10-12T00:00:00"/>
    <n v="307.72000000000003"/>
    <x v="6"/>
  </r>
  <r>
    <s v="CUST008"/>
    <x v="3"/>
    <x v="1"/>
    <x v="0"/>
    <n v="1081.1400000000001"/>
    <n v="19"/>
    <n v="0.15"/>
    <d v="2024-10-12T00:00:00"/>
    <n v="367.59"/>
    <x v="6"/>
  </r>
  <r>
    <s v="CUST015"/>
    <x v="3"/>
    <x v="0"/>
    <x v="1"/>
    <n v="1923.66"/>
    <n v="9"/>
    <n v="0.2"/>
    <d v="2024-10-15T00:00:00"/>
    <n v="769.46"/>
    <x v="6"/>
  </r>
  <r>
    <s v="CUST025"/>
    <x v="24"/>
    <x v="4"/>
    <x v="1"/>
    <n v="728.71"/>
    <n v="14"/>
    <n v="0.1"/>
    <d v="2024-10-16T00:00:00"/>
    <n v="327.92"/>
    <x v="6"/>
  </r>
  <r>
    <s v="CUST019"/>
    <x v="7"/>
    <x v="4"/>
    <x v="1"/>
    <n v="1301.8900000000001"/>
    <n v="7"/>
    <n v="0.15"/>
    <d v="2024-10-16T00:00:00"/>
    <n v="553.29999999999995"/>
    <x v="6"/>
  </r>
  <r>
    <s v="CUST024"/>
    <x v="24"/>
    <x v="1"/>
    <x v="0"/>
    <n v="980.18"/>
    <n v="16"/>
    <n v="0.1"/>
    <d v="2024-10-17T00:00:00"/>
    <n v="352.86"/>
    <x v="6"/>
  </r>
  <r>
    <s v="CUST027"/>
    <x v="3"/>
    <x v="0"/>
    <x v="1"/>
    <n v="697.57"/>
    <n v="17"/>
    <n v="0.1"/>
    <d v="2024-10-19T00:00:00"/>
    <n v="313.91000000000003"/>
    <x v="6"/>
  </r>
  <r>
    <s v="CUST006"/>
    <x v="26"/>
    <x v="0"/>
    <x v="3"/>
    <n v="1193.6099999999999"/>
    <n v="1"/>
    <n v="0.15"/>
    <d v="2024-10-19T00:00:00"/>
    <n v="355.1"/>
    <x v="6"/>
  </r>
  <r>
    <s v="CUST009"/>
    <x v="9"/>
    <x v="2"/>
    <x v="2"/>
    <n v="771.02"/>
    <n v="1"/>
    <n v="0"/>
    <d v="2024-10-20T00:00:00"/>
    <n v="192.76"/>
    <x v="6"/>
  </r>
  <r>
    <s v="CUST003"/>
    <x v="25"/>
    <x v="3"/>
    <x v="1"/>
    <n v="661.09"/>
    <n v="1"/>
    <n v="0.2"/>
    <d v="2024-10-28T00:00:00"/>
    <n v="264.44"/>
    <x v="6"/>
  </r>
  <r>
    <s v="CUST012"/>
    <x v="18"/>
    <x v="0"/>
    <x v="2"/>
    <n v="688.83"/>
    <n v="15"/>
    <n v="0"/>
    <d v="2024-10-30T00:00:00"/>
    <n v="172.21"/>
    <x v="6"/>
  </r>
  <r>
    <s v="CUST013"/>
    <x v="5"/>
    <x v="4"/>
    <x v="0"/>
    <n v="1249.0999999999999"/>
    <n v="4"/>
    <n v="0.05"/>
    <d v="2024-11-01T00:00:00"/>
    <n v="474.66"/>
    <x v="7"/>
  </r>
  <r>
    <s v="CUST008"/>
    <x v="3"/>
    <x v="1"/>
    <x v="4"/>
    <n v="1014.22"/>
    <n v="14"/>
    <n v="0.05"/>
    <d v="2024-11-03T00:00:00"/>
    <n v="433.58"/>
    <x v="7"/>
  </r>
  <r>
    <s v="CUST025"/>
    <x v="14"/>
    <x v="1"/>
    <x v="0"/>
    <n v="1010.58"/>
    <n v="2"/>
    <n v="0.15"/>
    <d v="2024-11-09T00:00:00"/>
    <n v="343.6"/>
    <x v="7"/>
  </r>
  <r>
    <s v="CUST026"/>
    <x v="20"/>
    <x v="3"/>
    <x v="3"/>
    <n v="957.29"/>
    <n v="4"/>
    <n v="0.05"/>
    <d v="2024-11-09T00:00:00"/>
    <n v="318.3"/>
    <x v="7"/>
  </r>
  <r>
    <s v="CUST001"/>
    <x v="12"/>
    <x v="3"/>
    <x v="3"/>
    <n v="1077.92"/>
    <n v="3"/>
    <n v="0.05"/>
    <d v="2024-11-12T00:00:00"/>
    <n v="358.41"/>
    <x v="7"/>
  </r>
  <r>
    <s v="CUST028"/>
    <x v="15"/>
    <x v="2"/>
    <x v="1"/>
    <n v="1163.01"/>
    <n v="5"/>
    <n v="0"/>
    <d v="2024-11-15T00:00:00"/>
    <n v="581.5"/>
    <x v="7"/>
  </r>
  <r>
    <s v="CUST025"/>
    <x v="12"/>
    <x v="1"/>
    <x v="4"/>
    <n v="1014.56"/>
    <n v="10"/>
    <n v="0.1"/>
    <d v="2024-11-16T00:00:00"/>
    <n v="410.9"/>
    <x v="7"/>
  </r>
  <r>
    <s v="CUST019"/>
    <x v="2"/>
    <x v="2"/>
    <x v="2"/>
    <n v="718.04"/>
    <n v="14"/>
    <n v="0"/>
    <d v="2024-11-17T00:00:00"/>
    <n v="179.51"/>
    <x v="7"/>
  </r>
  <r>
    <s v="CUST004"/>
    <x v="2"/>
    <x v="4"/>
    <x v="1"/>
    <n v="1277.8499999999999"/>
    <n v="18"/>
    <n v="0.2"/>
    <d v="2024-11-17T00:00:00"/>
    <n v="511.14"/>
    <x v="7"/>
  </r>
  <r>
    <s v="CUST024"/>
    <x v="3"/>
    <x v="3"/>
    <x v="2"/>
    <n v="706.73"/>
    <n v="1"/>
    <n v="0.15"/>
    <d v="2024-11-17T00:00:00"/>
    <n v="150.18"/>
    <x v="7"/>
  </r>
  <r>
    <s v="CUST002"/>
    <x v="15"/>
    <x v="1"/>
    <x v="2"/>
    <n v="1410.59"/>
    <n v="15"/>
    <n v="0"/>
    <d v="2024-11-19T00:00:00"/>
    <n v="352.65"/>
    <x v="7"/>
  </r>
  <r>
    <s v="CUST009"/>
    <x v="21"/>
    <x v="2"/>
    <x v="3"/>
    <n v="1350.33"/>
    <n v="10"/>
    <n v="0"/>
    <d v="2024-11-19T00:00:00"/>
    <n v="472.62"/>
    <x v="7"/>
  </r>
  <r>
    <s v="CUST029"/>
    <x v="12"/>
    <x v="1"/>
    <x v="2"/>
    <n v="919.18"/>
    <n v="4"/>
    <n v="0.15"/>
    <d v="2024-11-19T00:00:00"/>
    <n v="195.33"/>
    <x v="7"/>
  </r>
  <r>
    <s v="CUST027"/>
    <x v="3"/>
    <x v="0"/>
    <x v="2"/>
    <n v="258.51"/>
    <n v="19"/>
    <n v="0"/>
    <d v="2024-11-20T00:00:00"/>
    <n v="64.63"/>
    <x v="7"/>
  </r>
  <r>
    <s v="CUST011"/>
    <x v="21"/>
    <x v="1"/>
    <x v="0"/>
    <n v="1213.48"/>
    <n v="5"/>
    <n v="0.05"/>
    <d v="2024-11-20T00:00:00"/>
    <n v="461.12"/>
    <x v="7"/>
  </r>
  <r>
    <s v="CUST021"/>
    <x v="9"/>
    <x v="4"/>
    <x v="0"/>
    <n v="1150.28"/>
    <n v="8"/>
    <n v="0.05"/>
    <d v="2024-11-26T00:00:00"/>
    <n v="437.11"/>
    <x v="7"/>
  </r>
  <r>
    <s v="CUST014"/>
    <x v="26"/>
    <x v="2"/>
    <x v="3"/>
    <n v="853.86"/>
    <n v="8"/>
    <n v="0.1"/>
    <d v="2024-11-26T00:00:00"/>
    <n v="268.97000000000003"/>
    <x v="7"/>
  </r>
  <r>
    <s v="CUST018"/>
    <x v="12"/>
    <x v="2"/>
    <x v="2"/>
    <n v="1061.04"/>
    <n v="1"/>
    <n v="0"/>
    <d v="2024-11-28T00:00:00"/>
    <n v="265.26"/>
    <x v="7"/>
  </r>
  <r>
    <s v="CUST001"/>
    <x v="11"/>
    <x v="0"/>
    <x v="2"/>
    <n v="894.55"/>
    <n v="19"/>
    <n v="0.2"/>
    <d v="2024-11-29T00:00:00"/>
    <n v="178.91"/>
    <x v="7"/>
  </r>
  <r>
    <s v="CUST007"/>
    <x v="9"/>
    <x v="3"/>
    <x v="4"/>
    <n v="833.91"/>
    <n v="3"/>
    <n v="0.05"/>
    <d v="2024-11-30T00:00:00"/>
    <n v="356.5"/>
    <x v="7"/>
  </r>
  <r>
    <s v="CUST015"/>
    <x v="26"/>
    <x v="0"/>
    <x v="3"/>
    <n v="820.19"/>
    <n v="4"/>
    <n v="0.2"/>
    <d v="2024-12-04T00:00:00"/>
    <n v="229.65"/>
    <x v="8"/>
  </r>
  <r>
    <s v="CUST015"/>
    <x v="9"/>
    <x v="4"/>
    <x v="2"/>
    <n v="511.74"/>
    <n v="8"/>
    <n v="0.05"/>
    <d v="2024-12-05T00:00:00"/>
    <n v="121.54"/>
    <x v="8"/>
  </r>
  <r>
    <s v="CUST002"/>
    <x v="21"/>
    <x v="2"/>
    <x v="3"/>
    <n v="806.03"/>
    <n v="19"/>
    <n v="0.05"/>
    <d v="2024-12-12T00:00:00"/>
    <n v="268"/>
    <x v="8"/>
  </r>
  <r>
    <s v="CUST001"/>
    <x v="4"/>
    <x v="4"/>
    <x v="3"/>
    <n v="1432.47"/>
    <n v="16"/>
    <n v="0.15"/>
    <d v="2024-12-14T00:00:00"/>
    <n v="426.16"/>
    <x v="8"/>
  </r>
  <r>
    <s v="CUST027"/>
    <x v="5"/>
    <x v="4"/>
    <x v="2"/>
    <n v="1488.58"/>
    <n v="10"/>
    <n v="0.15"/>
    <d v="2024-12-14T00:00:00"/>
    <n v="316.32"/>
    <x v="8"/>
  </r>
  <r>
    <s v="CUST026"/>
    <x v="24"/>
    <x v="1"/>
    <x v="0"/>
    <n v="1231.26"/>
    <n v="9"/>
    <n v="0"/>
    <d v="2024-12-20T00:00:00"/>
    <n v="492.5"/>
    <x v="8"/>
  </r>
  <r>
    <s v="CUST026"/>
    <x v="11"/>
    <x v="0"/>
    <x v="2"/>
    <n v="1161.67"/>
    <n v="19"/>
    <n v="0.2"/>
    <d v="2024-12-21T00:00:00"/>
    <n v="232.33"/>
    <x v="8"/>
  </r>
  <r>
    <s v="CUST022"/>
    <x v="12"/>
    <x v="4"/>
    <x v="4"/>
    <n v="388.23"/>
    <n v="16"/>
    <n v="0.05"/>
    <d v="2024-12-24T00:00:00"/>
    <n v="165.97"/>
    <x v="8"/>
  </r>
  <r>
    <s v="CUST004"/>
    <x v="6"/>
    <x v="3"/>
    <x v="1"/>
    <n v="1589.42"/>
    <n v="6"/>
    <n v="0.15"/>
    <d v="2024-12-25T00:00:00"/>
    <n v="675.5"/>
    <x v="8"/>
  </r>
  <r>
    <s v="CUST001"/>
    <x v="26"/>
    <x v="3"/>
    <x v="1"/>
    <n v="336.66"/>
    <n v="13"/>
    <n v="0.2"/>
    <d v="2024-12-25T00:00:00"/>
    <n v="134.66"/>
    <x v="8"/>
  </r>
  <r>
    <s v="CUST022"/>
    <x v="3"/>
    <x v="0"/>
    <x v="0"/>
    <n v="1353.79"/>
    <n v="14"/>
    <n v="0.1"/>
    <d v="2024-12-30T00:00:00"/>
    <n v="487.36"/>
    <x v="8"/>
  </r>
  <r>
    <s v="CUST011"/>
    <x v="25"/>
    <x v="4"/>
    <x v="1"/>
    <n v="662.61"/>
    <n v="11"/>
    <n v="0.05"/>
    <d v="2025-01-01T00:00:00"/>
    <n v="314.74"/>
    <x v="9"/>
  </r>
  <r>
    <s v="CUST028"/>
    <x v="14"/>
    <x v="3"/>
    <x v="4"/>
    <n v="309.42"/>
    <n v="1"/>
    <n v="0.2"/>
    <d v="2025-01-01T00:00:00"/>
    <n v="111.39"/>
    <x v="9"/>
  </r>
  <r>
    <s v="CUST011"/>
    <x v="5"/>
    <x v="3"/>
    <x v="0"/>
    <n v="884.63"/>
    <n v="18"/>
    <n v="0.1"/>
    <d v="2025-01-02T00:00:00"/>
    <n v="318.47000000000003"/>
    <x v="9"/>
  </r>
  <r>
    <s v="CUST028"/>
    <x v="3"/>
    <x v="4"/>
    <x v="4"/>
    <n v="745.05"/>
    <n v="10"/>
    <n v="0.1"/>
    <d v="2025-01-03T00:00:00"/>
    <n v="301.75"/>
    <x v="9"/>
  </r>
  <r>
    <s v="CUST016"/>
    <x v="2"/>
    <x v="2"/>
    <x v="1"/>
    <n v="870.23"/>
    <n v="5"/>
    <n v="0.05"/>
    <d v="2025-01-03T00:00:00"/>
    <n v="413.36"/>
    <x v="9"/>
  </r>
  <r>
    <s v="CUST010"/>
    <x v="5"/>
    <x v="0"/>
    <x v="3"/>
    <n v="862.19"/>
    <n v="18"/>
    <n v="0.05"/>
    <d v="2025-01-06T00:00:00"/>
    <n v="286.68"/>
    <x v="9"/>
  </r>
  <r>
    <s v="CUST013"/>
    <x v="20"/>
    <x v="3"/>
    <x v="1"/>
    <n v="1171.18"/>
    <n v="19"/>
    <n v="0.05"/>
    <d v="2025-01-10T00:00:00"/>
    <n v="556.30999999999995"/>
    <x v="9"/>
  </r>
  <r>
    <s v="CUST015"/>
    <x v="1"/>
    <x v="2"/>
    <x v="3"/>
    <n v="1054.56"/>
    <n v="11"/>
    <n v="0.1"/>
    <d v="2025-01-12T00:00:00"/>
    <n v="332.19"/>
    <x v="9"/>
  </r>
  <r>
    <s v="CUST015"/>
    <x v="3"/>
    <x v="3"/>
    <x v="2"/>
    <n v="1681.21"/>
    <n v="5"/>
    <n v="0.2"/>
    <d v="2025-01-13T00:00:00"/>
    <n v="336.24"/>
    <x v="9"/>
  </r>
  <r>
    <s v="CUST015"/>
    <x v="8"/>
    <x v="0"/>
    <x v="1"/>
    <n v="379.77"/>
    <n v="9"/>
    <n v="0.05"/>
    <d v="2025-01-16T00:00:00"/>
    <n v="180.39"/>
    <x v="9"/>
  </r>
  <r>
    <s v="CUST008"/>
    <x v="12"/>
    <x v="4"/>
    <x v="1"/>
    <n v="1076.33"/>
    <n v="2"/>
    <n v="0.1"/>
    <d v="2025-01-17T00:00:00"/>
    <n v="484.35"/>
    <x v="9"/>
  </r>
  <r>
    <s v="CUST008"/>
    <x v="6"/>
    <x v="4"/>
    <x v="4"/>
    <n v="1250.71"/>
    <n v="7"/>
    <n v="0"/>
    <d v="2025-01-17T00:00:00"/>
    <n v="562.82000000000005"/>
    <x v="9"/>
  </r>
  <r>
    <s v="CUST023"/>
    <x v="2"/>
    <x v="2"/>
    <x v="1"/>
    <n v="1118.3399999999999"/>
    <n v="6"/>
    <n v="0.2"/>
    <d v="2025-01-17T00:00:00"/>
    <n v="447.34"/>
    <x v="9"/>
  </r>
  <r>
    <s v="CUST024"/>
    <x v="17"/>
    <x v="3"/>
    <x v="1"/>
    <n v="1622.62"/>
    <n v="12"/>
    <n v="0.2"/>
    <d v="2025-01-20T00:00:00"/>
    <n v="649.04999999999995"/>
    <x v="9"/>
  </r>
  <r>
    <s v="CUST018"/>
    <x v="14"/>
    <x v="3"/>
    <x v="0"/>
    <n v="640.64"/>
    <n v="11"/>
    <n v="0.2"/>
    <d v="2025-01-21T00:00:00"/>
    <n v="205"/>
    <x v="9"/>
  </r>
  <r>
    <s v="CUST030"/>
    <x v="11"/>
    <x v="0"/>
    <x v="1"/>
    <n v="585.16"/>
    <n v="17"/>
    <n v="0.1"/>
    <d v="2025-01-27T00:00:00"/>
    <n v="263.32"/>
    <x v="9"/>
  </r>
  <r>
    <s v="CUST030"/>
    <x v="6"/>
    <x v="1"/>
    <x v="1"/>
    <n v="1109.98"/>
    <n v="5"/>
    <n v="0.2"/>
    <d v="2025-02-02T00:00:00"/>
    <n v="443.99"/>
    <x v="10"/>
  </r>
  <r>
    <s v="CUST015"/>
    <x v="12"/>
    <x v="1"/>
    <x v="0"/>
    <n v="1098.08"/>
    <n v="9"/>
    <n v="0.1"/>
    <d v="2025-02-04T00:00:00"/>
    <n v="395.31"/>
    <x v="10"/>
  </r>
  <r>
    <s v="CUST002"/>
    <x v="14"/>
    <x v="0"/>
    <x v="4"/>
    <n v="827.25"/>
    <n v="7"/>
    <n v="0.1"/>
    <d v="2025-02-05T00:00:00"/>
    <n v="335.04"/>
    <x v="10"/>
  </r>
  <r>
    <s v="CUST024"/>
    <x v="5"/>
    <x v="4"/>
    <x v="1"/>
    <n v="741.88"/>
    <n v="16"/>
    <n v="0.1"/>
    <d v="2025-02-07T00:00:00"/>
    <n v="333.85"/>
    <x v="10"/>
  </r>
  <r>
    <s v="CUST004"/>
    <x v="0"/>
    <x v="1"/>
    <x v="4"/>
    <n v="1311.26"/>
    <n v="6"/>
    <n v="0.1"/>
    <d v="2025-02-10T00:00:00"/>
    <n v="531.05999999999995"/>
    <x v="10"/>
  </r>
  <r>
    <s v="CUST004"/>
    <x v="6"/>
    <x v="2"/>
    <x v="4"/>
    <n v="573.32000000000005"/>
    <n v="19"/>
    <n v="0.1"/>
    <d v="2025-02-15T00:00:00"/>
    <n v="232.19"/>
    <x v="10"/>
  </r>
  <r>
    <s v="CUST028"/>
    <x v="3"/>
    <x v="0"/>
    <x v="2"/>
    <n v="1115.22"/>
    <n v="14"/>
    <n v="0.2"/>
    <d v="2025-02-17T00:00:00"/>
    <n v="223.04"/>
    <x v="10"/>
  </r>
  <r>
    <s v="CUST012"/>
    <x v="12"/>
    <x v="3"/>
    <x v="1"/>
    <n v="845.84"/>
    <n v="4"/>
    <n v="0"/>
    <d v="2025-02-19T00:00:00"/>
    <n v="422.92"/>
    <x v="10"/>
  </r>
  <r>
    <s v="CUST026"/>
    <x v="18"/>
    <x v="0"/>
    <x v="2"/>
    <n v="1029.8"/>
    <n v="3"/>
    <n v="0"/>
    <d v="2025-02-20T00:00:00"/>
    <n v="257.45"/>
    <x v="10"/>
  </r>
  <r>
    <s v="CUST009"/>
    <x v="6"/>
    <x v="3"/>
    <x v="0"/>
    <n v="1189.83"/>
    <n v="2"/>
    <n v="0.2"/>
    <d v="2025-02-21T00:00:00"/>
    <n v="380.75"/>
    <x v="10"/>
  </r>
  <r>
    <s v="CUST003"/>
    <x v="11"/>
    <x v="2"/>
    <x v="0"/>
    <n v="704.28"/>
    <n v="15"/>
    <n v="0.2"/>
    <d v="2025-02-24T00:00:00"/>
    <n v="225.37"/>
    <x v="10"/>
  </r>
  <r>
    <s v="CUST002"/>
    <x v="13"/>
    <x v="4"/>
    <x v="4"/>
    <n v="1618.22"/>
    <n v="12"/>
    <n v="0.2"/>
    <d v="2025-02-24T00:00:00"/>
    <n v="582.55999999999995"/>
    <x v="10"/>
  </r>
  <r>
    <s v="CUST013"/>
    <x v="17"/>
    <x v="4"/>
    <x v="0"/>
    <n v="1014.43"/>
    <n v="2"/>
    <n v="0.15"/>
    <d v="2025-02-25T00:00:00"/>
    <n v="344.91"/>
    <x v="10"/>
  </r>
  <r>
    <s v="CUST018"/>
    <x v="6"/>
    <x v="4"/>
    <x v="1"/>
    <n v="826.97"/>
    <n v="18"/>
    <n v="0.2"/>
    <d v="2025-02-27T00:00:00"/>
    <n v="330.79"/>
    <x v="10"/>
  </r>
  <r>
    <s v="CUST017"/>
    <x v="6"/>
    <x v="4"/>
    <x v="1"/>
    <n v="1022.23"/>
    <n v="8"/>
    <n v="0.1"/>
    <d v="2025-03-01T00:00:00"/>
    <n v="460"/>
    <x v="11"/>
  </r>
  <r>
    <s v="CUST004"/>
    <x v="5"/>
    <x v="1"/>
    <x v="0"/>
    <n v="1099.69"/>
    <n v="6"/>
    <n v="0"/>
    <d v="2025-03-02T00:00:00"/>
    <n v="439.88"/>
    <x v="11"/>
  </r>
  <r>
    <s v="CUST028"/>
    <x v="23"/>
    <x v="3"/>
    <x v="0"/>
    <n v="710.52"/>
    <n v="8"/>
    <n v="0.1"/>
    <d v="2025-03-05T00:00:00"/>
    <n v="255.79"/>
    <x v="11"/>
  </r>
  <r>
    <s v="CUST028"/>
    <x v="20"/>
    <x v="3"/>
    <x v="0"/>
    <n v="499.18"/>
    <n v="15"/>
    <n v="0.2"/>
    <d v="2025-03-08T00:00:00"/>
    <n v="159.74"/>
    <x v="11"/>
  </r>
  <r>
    <s v="CUST014"/>
    <x v="9"/>
    <x v="2"/>
    <x v="0"/>
    <n v="1064.19"/>
    <n v="18"/>
    <n v="0.05"/>
    <d v="2025-03-09T00:00:00"/>
    <n v="404.39"/>
    <x v="11"/>
  </r>
  <r>
    <s v="CUST003"/>
    <x v="9"/>
    <x v="1"/>
    <x v="4"/>
    <n v="438.76"/>
    <n v="18"/>
    <n v="0.05"/>
    <d v="2025-03-10T00:00:00"/>
    <n v="187.57"/>
    <x v="11"/>
  </r>
  <r>
    <s v="CUST029"/>
    <x v="18"/>
    <x v="0"/>
    <x v="1"/>
    <n v="864.98"/>
    <n v="2"/>
    <n v="0.05"/>
    <d v="2025-03-11T00:00:00"/>
    <n v="410.87"/>
    <x v="11"/>
  </r>
  <r>
    <s v="CUST021"/>
    <x v="18"/>
    <x v="0"/>
    <x v="3"/>
    <n v="984.93"/>
    <n v="14"/>
    <n v="0.2"/>
    <d v="2025-03-17T00:00:00"/>
    <n v="275.77999999999997"/>
    <x v="11"/>
  </r>
  <r>
    <s v="CUST007"/>
    <x v="18"/>
    <x v="0"/>
    <x v="1"/>
    <n v="1493.49"/>
    <n v="18"/>
    <n v="0"/>
    <d v="2025-03-18T00:00:00"/>
    <n v="746.74"/>
    <x v="11"/>
  </r>
  <r>
    <s v="CUST009"/>
    <x v="17"/>
    <x v="2"/>
    <x v="1"/>
    <n v="689.43"/>
    <n v="9"/>
    <n v="0.1"/>
    <d v="2025-03-20T00:00:00"/>
    <n v="310.24"/>
    <x v="11"/>
  </r>
  <r>
    <s v="CUST023"/>
    <x v="20"/>
    <x v="2"/>
    <x v="1"/>
    <n v="682.24"/>
    <n v="1"/>
    <n v="0"/>
    <d v="2025-03-22T00:00:00"/>
    <n v="341.12"/>
    <x v="11"/>
  </r>
  <r>
    <s v="CUST029"/>
    <x v="4"/>
    <x v="3"/>
    <x v="2"/>
    <n v="458.54"/>
    <n v="15"/>
    <n v="0.2"/>
    <d v="2025-03-25T00:00:00"/>
    <n v="91.71"/>
    <x v="11"/>
  </r>
  <r>
    <s v="CUST009"/>
    <x v="4"/>
    <x v="2"/>
    <x v="3"/>
    <n v="1184.25"/>
    <n v="11"/>
    <n v="0.2"/>
    <d v="2025-03-26T00:00:00"/>
    <n v="331.59"/>
    <x v="11"/>
  </r>
  <r>
    <s v="CUST007"/>
    <x v="0"/>
    <x v="2"/>
    <x v="1"/>
    <n v="762.14"/>
    <n v="9"/>
    <n v="0"/>
    <d v="2025-03-27T00:00:00"/>
    <n v="381.07"/>
    <x v="11"/>
  </r>
  <r>
    <s v="CUST030"/>
    <x v="17"/>
    <x v="3"/>
    <x v="0"/>
    <n v="750.71"/>
    <n v="10"/>
    <n v="0.15"/>
    <d v="2025-03-27T00:00:00"/>
    <n v="255.24"/>
    <x v="11"/>
  </r>
  <r>
    <s v="CUST018"/>
    <x v="26"/>
    <x v="4"/>
    <x v="1"/>
    <n v="1456.94"/>
    <n v="14"/>
    <n v="0.05"/>
    <d v="2025-03-29T00:00:00"/>
    <n v="692.05"/>
    <x v="11"/>
  </r>
  <r>
    <s v="CUST008"/>
    <x v="21"/>
    <x v="1"/>
    <x v="3"/>
    <n v="1093.3800000000001"/>
    <n v="17"/>
    <n v="0.1"/>
    <d v="2025-03-29T00:00:00"/>
    <n v="344.41"/>
    <x v="11"/>
  </r>
  <r>
    <s v="CUST014"/>
    <x v="11"/>
    <x v="0"/>
    <x v="1"/>
    <n v="934.27"/>
    <n v="8"/>
    <n v="0.15"/>
    <d v="2025-03-30T00:00:00"/>
    <n v="397.06"/>
    <x v="11"/>
  </r>
  <r>
    <s v="CUST024"/>
    <x v="8"/>
    <x v="4"/>
    <x v="1"/>
    <n v="1465.35"/>
    <n v="8"/>
    <n v="0.2"/>
    <d v="2025-03-30T00:00:00"/>
    <n v="586.14"/>
    <x v="11"/>
  </r>
  <r>
    <s v="CUST028"/>
    <x v="1"/>
    <x v="2"/>
    <x v="4"/>
    <n v="740.8"/>
    <n v="3"/>
    <n v="0"/>
    <d v="2025-04-02T00:00:00"/>
    <n v="333.36"/>
    <x v="0"/>
  </r>
  <r>
    <s v="CUST015"/>
    <x v="11"/>
    <x v="0"/>
    <x v="4"/>
    <n v="545.44000000000005"/>
    <n v="17"/>
    <n v="0"/>
    <d v="2025-04-05T00:00:00"/>
    <n v="245.45"/>
    <x v="0"/>
  </r>
  <r>
    <s v="CUST010"/>
    <x v="8"/>
    <x v="1"/>
    <x v="0"/>
    <n v="997.61"/>
    <n v="8"/>
    <n v="0.05"/>
    <d v="2025-04-05T00:00:00"/>
    <n v="379.09"/>
    <x v="0"/>
  </r>
  <r>
    <s v="CUST016"/>
    <x v="8"/>
    <x v="2"/>
    <x v="1"/>
    <n v="928.32"/>
    <n v="2"/>
    <n v="0.05"/>
    <d v="2025-04-07T00:00:00"/>
    <n v="440.9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PivotTable14"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Customers">
  <location ref="K2:L30" firstHeaderRow="1" firstDataRow="1" firstDataCol="1"/>
  <pivotFields count="8">
    <pivotField axis="axisRow" showAll="0">
      <items count="28">
        <item x="26"/>
        <item x="18"/>
        <item x="19"/>
        <item x="10"/>
        <item x="8"/>
        <item x="9"/>
        <item x="24"/>
        <item x="21"/>
        <item x="0"/>
        <item x="2"/>
        <item x="3"/>
        <item x="16"/>
        <item x="15"/>
        <item x="22"/>
        <item x="7"/>
        <item x="25"/>
        <item x="17"/>
        <item x="5"/>
        <item x="14"/>
        <item x="12"/>
        <item x="6"/>
        <item x="13"/>
        <item x="20"/>
        <item x="4"/>
        <item x="1"/>
        <item x="11"/>
        <item x="23"/>
        <item t="default"/>
      </items>
    </pivotField>
    <pivotField showAll="0"/>
    <pivotField showAll="0"/>
    <pivotField dataField="1" showAll="0"/>
    <pivotField showAll="0"/>
    <pivotField showAll="0"/>
    <pivotField numFmtId="14" showAll="0"/>
    <pivotField showAll="0"/>
  </pivotFields>
  <rowFields count="1">
    <field x="0"/>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X2:Y15" firstHeaderRow="1" firstDataRow="1" firstDataCol="1"/>
  <pivotFields count="10">
    <pivotField showAll="0"/>
    <pivotField showAll="0"/>
    <pivotField showAll="0"/>
    <pivotField showAll="0"/>
    <pivotField dataField="1" showAll="0"/>
    <pivotField showAll="0"/>
    <pivotField showAll="0"/>
    <pivotField numFmtId="14" showAll="0"/>
    <pivotField showAll="0"/>
    <pivotField axis="axisRow" showAll="0">
      <items count="13">
        <item x="9"/>
        <item x="10"/>
        <item x="11"/>
        <item x="0"/>
        <item x="1"/>
        <item x="2"/>
        <item x="3"/>
        <item x="4"/>
        <item x="5"/>
        <item x="6"/>
        <item x="7"/>
        <item x="8"/>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Sales" fld="4" baseField="0" baseItem="0"/>
  </dataFields>
  <conditionalFormats count="1">
    <conditionalFormat priority="2">
      <pivotAreas count="1">
        <pivotArea type="data" collapsedLevelsAreSubtotals="1" fieldPosition="0">
          <references count="2">
            <reference field="4294967294" count="1" selected="0">
              <x v="0"/>
            </reference>
            <reference field="9" count="12">
              <x v="0"/>
              <x v="1"/>
              <x v="2"/>
              <x v="3"/>
              <x v="4"/>
              <x v="5"/>
              <x v="6"/>
              <x v="7"/>
              <x v="8"/>
              <x v="9"/>
              <x v="10"/>
              <x v="1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Customer name">
  <location ref="AD4:AE6" firstHeaderRow="1" firstDataRow="1" firstDataCol="1"/>
  <pivotFields count="10">
    <pivotField showAll="0"/>
    <pivotField axis="axisRow" showAll="0" measureFilter="1">
      <items count="28">
        <item x="26"/>
        <item x="18"/>
        <item x="19"/>
        <item x="10"/>
        <item x="8"/>
        <item x="9"/>
        <item x="24"/>
        <item x="21"/>
        <item x="0"/>
        <item x="2"/>
        <item x="3"/>
        <item x="16"/>
        <item x="15"/>
        <item x="22"/>
        <item x="7"/>
        <item x="25"/>
        <item x="17"/>
        <item x="5"/>
        <item x="14"/>
        <item x="12"/>
        <item x="6"/>
        <item x="13"/>
        <item x="20"/>
        <item x="4"/>
        <item x="1"/>
        <item x="11"/>
        <item x="23"/>
        <item t="default"/>
      </items>
    </pivotField>
    <pivotField showAll="0"/>
    <pivotField showAll="0"/>
    <pivotField dataField="1" showAll="0"/>
    <pivotField showAll="0"/>
    <pivotField showAll="0"/>
    <pivotField numFmtId="14" showAll="0"/>
    <pivotField showAll="0"/>
    <pivotField showAll="0"/>
  </pivotFields>
  <rowFields count="1">
    <field x="1"/>
  </rowFields>
  <rowItems count="2">
    <i>
      <x v="10"/>
    </i>
    <i t="grand">
      <x/>
    </i>
  </rowItems>
  <colItems count="1">
    <i/>
  </colItems>
  <dataFields count="1">
    <dataField name="Sum of Sales" fld="4" baseField="0" baseItem="0"/>
  </dataFields>
  <pivotTableStyleInfo name="PivotStyleLight16" showRowHeaders="1" showColHeaders="1" showRowStripes="0" showColStripes="0" showLastColumn="1"/>
  <filters count="1">
    <filter fld="1"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G2:AM9" firstHeaderRow="1" firstDataRow="2" firstDataCol="1"/>
  <pivotFields count="10">
    <pivotField showAll="0"/>
    <pivotField showAll="0"/>
    <pivotField axis="axisRow" showAll="0">
      <items count="6">
        <item x="4"/>
        <item x="1"/>
        <item x="3"/>
        <item x="2"/>
        <item x="0"/>
        <item t="default"/>
      </items>
    </pivotField>
    <pivotField axis="axisCol" showAll="0" sortType="ascending">
      <items count="6">
        <item x="0"/>
        <item x="1"/>
        <item x="2"/>
        <item x="3"/>
        <item x="4"/>
        <item t="default"/>
      </items>
    </pivotField>
    <pivotField dataField="1" showAll="0"/>
    <pivotField showAll="0"/>
    <pivotField showAll="0"/>
    <pivotField numFmtId="14" showAll="0"/>
    <pivotField showAll="0"/>
    <pivotField showAll="0"/>
  </pivotFields>
  <rowFields count="1">
    <field x="2"/>
  </rowFields>
  <rowItems count="6">
    <i>
      <x/>
    </i>
    <i>
      <x v="1"/>
    </i>
    <i>
      <x v="2"/>
    </i>
    <i>
      <x v="3"/>
    </i>
    <i>
      <x v="4"/>
    </i>
    <i t="grand">
      <x/>
    </i>
  </rowItems>
  <colFields count="1">
    <field x="3"/>
  </colFields>
  <colItems count="6">
    <i>
      <x/>
    </i>
    <i>
      <x v="1"/>
    </i>
    <i>
      <x v="2"/>
    </i>
    <i>
      <x v="3"/>
    </i>
    <i>
      <x v="4"/>
    </i>
    <i t="grand">
      <x/>
    </i>
  </colItems>
  <dataFields count="1">
    <dataField name="Sum of Sale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3"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2">
  <location ref="M19:O25" firstHeaderRow="0" firstDataRow="1" firstDataCol="1"/>
  <pivotFields count="10">
    <pivotField showAll="0"/>
    <pivotField showAll="0"/>
    <pivotField showAll="0"/>
    <pivotField axis="axisRow" showAll="0">
      <items count="6">
        <item sd="0" x="0"/>
        <item sd="0" x="1"/>
        <item sd="0" x="2"/>
        <item sd="0" x="3"/>
        <item sd="0" x="4"/>
        <item t="default"/>
      </items>
    </pivotField>
    <pivotField dataField="1" showAll="0"/>
    <pivotField showAll="0"/>
    <pivotField showAll="0"/>
    <pivotField numFmtId="14" showAll="0"/>
    <pivotField dataField="1" showAll="0"/>
    <pivotField axis="axisRow" showAll="0">
      <items count="13">
        <item sd="0" x="9"/>
        <item sd="0" x="10"/>
        <item sd="0" x="11"/>
        <item sd="0" x="0"/>
        <item sd="0" x="1"/>
        <item sd="0" x="2"/>
        <item sd="0" x="3"/>
        <item sd="0" x="4"/>
        <item sd="0" x="5"/>
        <item sd="0" x="6"/>
        <item x="7"/>
        <item x="8"/>
        <item t="default"/>
      </items>
    </pivotField>
  </pivotFields>
  <rowFields count="2">
    <field x="3"/>
    <field x="9"/>
  </rowFields>
  <rowItems count="6">
    <i>
      <x/>
    </i>
    <i>
      <x v="1"/>
    </i>
    <i>
      <x v="2"/>
    </i>
    <i>
      <x v="3"/>
    </i>
    <i>
      <x v="4"/>
    </i>
    <i t="grand">
      <x/>
    </i>
  </rowItems>
  <colFields count="1">
    <field x="-2"/>
  </colFields>
  <colItems count="2">
    <i>
      <x/>
    </i>
    <i i="1">
      <x v="1"/>
    </i>
  </colItems>
  <dataFields count="2">
    <dataField name="Sum of Profit" fld="8" baseField="0" baseItem="0"/>
    <dataField name="Sum of Sales" fld="4" baseField="0" baseItem="0"/>
  </dataFields>
  <chartFormats count="8">
    <chartFormat chart="8"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 chart="10" format="6"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1"/>
          </reference>
        </references>
      </pivotArea>
    </chartFormat>
    <chartFormat chart="11" format="6"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9">
  <location ref="J3:K9" firstHeaderRow="1" firstDataRow="1" firstDataCol="1"/>
  <pivotFields count="10">
    <pivotField showAll="0"/>
    <pivotField showAll="0"/>
    <pivotField axis="axisRow" showAll="0">
      <items count="6">
        <item x="4"/>
        <item x="1"/>
        <item x="3"/>
        <item x="2"/>
        <item x="0"/>
        <item t="default"/>
      </items>
    </pivotField>
    <pivotField showAll="0"/>
    <pivotField dataField="1" showAll="0"/>
    <pivotField showAll="0"/>
    <pivotField showAll="0"/>
    <pivotField numFmtId="14" showAll="0"/>
    <pivotField showAll="0"/>
    <pivotField showAll="0"/>
  </pivotFields>
  <rowFields count="1">
    <field x="2"/>
  </rowFields>
  <rowItems count="6">
    <i>
      <x/>
    </i>
    <i>
      <x v="1"/>
    </i>
    <i>
      <x v="2"/>
    </i>
    <i>
      <x v="3"/>
    </i>
    <i>
      <x v="4"/>
    </i>
    <i t="grand">
      <x/>
    </i>
  </rowItems>
  <colItems count="1">
    <i/>
  </colItems>
  <dataFields count="1">
    <dataField name="Sum of Sales" fld="4" baseField="0" baseItem="0"/>
  </dataFields>
  <chartFormats count="4">
    <chartFormat chart="32" format="2"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37" format="3" series="1">
      <pivotArea type="data" outline="0" fieldPosition="0">
        <references count="1">
          <reference field="4294967294" count="1" selected="0">
            <x v="0"/>
          </reference>
        </references>
      </pivotArea>
    </chartFormat>
    <chartFormat chart="3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5"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rowHeaderCaption="Region">
  <location ref="A3:B9" firstHeaderRow="1" firstDataRow="1" firstDataCol="1"/>
  <pivotFields count="10">
    <pivotField showAll="0"/>
    <pivotField showAll="0"/>
    <pivotField axis="axisRow" showAll="0">
      <items count="6">
        <item x="4"/>
        <item x="1"/>
        <item x="3"/>
        <item x="2"/>
        <item x="0"/>
        <item t="default"/>
      </items>
    </pivotField>
    <pivotField showAll="0"/>
    <pivotField dataField="1" showAll="0"/>
    <pivotField showAll="0"/>
    <pivotField showAll="0"/>
    <pivotField numFmtId="14" showAll="0"/>
    <pivotField showAll="0"/>
    <pivotField showAll="0"/>
  </pivotFields>
  <rowFields count="1">
    <field x="2"/>
  </rowFields>
  <rowItems count="6">
    <i>
      <x/>
    </i>
    <i>
      <x v="1"/>
    </i>
    <i>
      <x v="2"/>
    </i>
    <i>
      <x v="3"/>
    </i>
    <i>
      <x v="4"/>
    </i>
    <i t="grand">
      <x/>
    </i>
  </rowItems>
  <colItems count="1">
    <i/>
  </colItems>
  <dataFields count="1">
    <dataField name="Sum of Sales" fld="4" baseField="0" baseItem="0"/>
  </dataFields>
  <chartFormats count="2">
    <chartFormat chart="2"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2"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4">
  <location ref="M3:O16" firstHeaderRow="0" firstDataRow="1" firstDataCol="1"/>
  <pivotFields count="10">
    <pivotField showAll="0"/>
    <pivotField showAll="0"/>
    <pivotField showAll="0"/>
    <pivotField showAll="0"/>
    <pivotField dataField="1" showAll="0"/>
    <pivotField showAll="0"/>
    <pivotField showAll="0"/>
    <pivotField numFmtId="14" showAll="0"/>
    <pivotField dataField="1" showAll="0"/>
    <pivotField axis="axisRow" showAll="0">
      <items count="13">
        <item x="9"/>
        <item x="10"/>
        <item x="11"/>
        <item x="0"/>
        <item x="1"/>
        <item x="2"/>
        <item x="3"/>
        <item x="4"/>
        <item x="5"/>
        <item x="6"/>
        <item x="7"/>
        <item x="8"/>
        <item t="default"/>
      </items>
    </pivotField>
  </pivotFields>
  <rowFields count="1">
    <field x="9"/>
  </rowFields>
  <rowItems count="13">
    <i>
      <x/>
    </i>
    <i>
      <x v="1"/>
    </i>
    <i>
      <x v="2"/>
    </i>
    <i>
      <x v="3"/>
    </i>
    <i>
      <x v="4"/>
    </i>
    <i>
      <x v="5"/>
    </i>
    <i>
      <x v="6"/>
    </i>
    <i>
      <x v="7"/>
    </i>
    <i>
      <x v="8"/>
    </i>
    <i>
      <x v="9"/>
    </i>
    <i>
      <x v="10"/>
    </i>
    <i>
      <x v="11"/>
    </i>
    <i t="grand">
      <x/>
    </i>
  </rowItems>
  <colFields count="1">
    <field x="-2"/>
  </colFields>
  <colItems count="2">
    <i>
      <x/>
    </i>
    <i i="1">
      <x v="1"/>
    </i>
  </colItems>
  <dataFields count="2">
    <dataField name="Sum of Sales" fld="4" baseField="0" baseItem="0"/>
    <dataField name="Sum of Profit" fld="8" baseField="0" baseItem="0"/>
  </dataFields>
  <chartFormats count="4">
    <chartFormat chart="10" format="2"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1"/>
          </reference>
        </references>
      </pivotArea>
    </chartFormat>
    <chartFormat chart="13" format="8" series="1">
      <pivotArea type="data" outline="0" fieldPosition="0">
        <references count="1">
          <reference field="4294967294" count="1" selected="0">
            <x v="0"/>
          </reference>
        </references>
      </pivotArea>
    </chartFormat>
    <chartFormat chart="13"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7"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0" rowHeaderCaption="Product Category">
  <location ref="G3:H9" firstHeaderRow="1" firstDataRow="1" firstDataCol="1"/>
  <pivotFields count="10">
    <pivotField showAll="0"/>
    <pivotField showAll="0"/>
    <pivotField showAll="0"/>
    <pivotField axis="axisRow" showAll="0">
      <items count="6">
        <item x="0"/>
        <item x="1"/>
        <item x="2"/>
        <item x="3"/>
        <item x="4"/>
        <item t="default"/>
      </items>
    </pivotField>
    <pivotField dataField="1" showAll="0"/>
    <pivotField showAll="0"/>
    <pivotField showAll="0"/>
    <pivotField numFmtId="14" showAll="0"/>
    <pivotField showAll="0"/>
    <pivotField showAll="0"/>
  </pivotFields>
  <rowFields count="1">
    <field x="3"/>
  </rowFields>
  <rowItems count="6">
    <i>
      <x/>
    </i>
    <i>
      <x v="1"/>
    </i>
    <i>
      <x v="2"/>
    </i>
    <i>
      <x v="3"/>
    </i>
    <i>
      <x v="4"/>
    </i>
    <i t="grand">
      <x/>
    </i>
  </rowItems>
  <colItems count="1">
    <i/>
  </colItems>
  <dataFields count="1">
    <dataField name="Sum of Sales" fld="4" baseField="0" baseItem="0"/>
  </dataFields>
  <chartFormats count="25">
    <chartFormat chart="13" format="8" series="1">
      <pivotArea type="data" outline="0" fieldPosition="0">
        <references count="1">
          <reference field="4294967294" count="1" selected="0">
            <x v="0"/>
          </reference>
        </references>
      </pivotArea>
    </chartFormat>
    <chartFormat chart="13" format="9">
      <pivotArea type="data" outline="0" fieldPosition="0">
        <references count="2">
          <reference field="4294967294" count="1" selected="0">
            <x v="0"/>
          </reference>
          <reference field="3" count="1" selected="0">
            <x v="0"/>
          </reference>
        </references>
      </pivotArea>
    </chartFormat>
    <chartFormat chart="13" format="10">
      <pivotArea type="data" outline="0" fieldPosition="0">
        <references count="2">
          <reference field="4294967294" count="1" selected="0">
            <x v="0"/>
          </reference>
          <reference field="3" count="1" selected="0">
            <x v="1"/>
          </reference>
        </references>
      </pivotArea>
    </chartFormat>
    <chartFormat chart="13" format="11">
      <pivotArea type="data" outline="0" fieldPosition="0">
        <references count="2">
          <reference field="4294967294" count="1" selected="0">
            <x v="0"/>
          </reference>
          <reference field="3" count="1" selected="0">
            <x v="2"/>
          </reference>
        </references>
      </pivotArea>
    </chartFormat>
    <chartFormat chart="13" format="12">
      <pivotArea type="data" outline="0" fieldPosition="0">
        <references count="2">
          <reference field="4294967294" count="1" selected="0">
            <x v="0"/>
          </reference>
          <reference field="3" count="1" selected="0">
            <x v="3"/>
          </reference>
        </references>
      </pivotArea>
    </chartFormat>
    <chartFormat chart="16" format="2" series="1">
      <pivotArea type="data" outline="0" fieldPosition="0">
        <references count="1">
          <reference field="4294967294" count="1" selected="0">
            <x v="0"/>
          </reference>
        </references>
      </pivotArea>
    </chartFormat>
    <chartFormat chart="17" format="3" series="1">
      <pivotArea type="data" outline="0" fieldPosition="0">
        <references count="1">
          <reference field="4294967294" count="1" selected="0">
            <x v="0"/>
          </reference>
        </references>
      </pivotArea>
    </chartFormat>
    <chartFormat chart="17" format="4">
      <pivotArea type="data" outline="0" fieldPosition="0">
        <references count="2">
          <reference field="4294967294" count="1" selected="0">
            <x v="0"/>
          </reference>
          <reference field="3" count="1" selected="0">
            <x v="0"/>
          </reference>
        </references>
      </pivotArea>
    </chartFormat>
    <chartFormat chart="17" format="5">
      <pivotArea type="data" outline="0" fieldPosition="0">
        <references count="2">
          <reference field="4294967294" count="1" selected="0">
            <x v="0"/>
          </reference>
          <reference field="3" count="1" selected="0">
            <x v="1"/>
          </reference>
        </references>
      </pivotArea>
    </chartFormat>
    <chartFormat chart="17" format="6">
      <pivotArea type="data" outline="0" fieldPosition="0">
        <references count="2">
          <reference field="4294967294" count="1" selected="0">
            <x v="0"/>
          </reference>
          <reference field="3" count="1" selected="0">
            <x v="2"/>
          </reference>
        </references>
      </pivotArea>
    </chartFormat>
    <chartFormat chart="17" format="7">
      <pivotArea type="data" outline="0" fieldPosition="0">
        <references count="2">
          <reference field="4294967294" count="1" selected="0">
            <x v="0"/>
          </reference>
          <reference field="3" count="1" selected="0">
            <x v="3"/>
          </reference>
        </references>
      </pivotArea>
    </chartFormat>
    <chartFormat chart="17" format="8">
      <pivotArea type="data" outline="0" fieldPosition="0">
        <references count="2">
          <reference field="4294967294" count="1" selected="0">
            <x v="0"/>
          </reference>
          <reference field="3" count="1" selected="0">
            <x v="4"/>
          </reference>
        </references>
      </pivotArea>
    </chartFormat>
    <chartFormat chart="18" format="9" series="1">
      <pivotArea type="data" outline="0" fieldPosition="0">
        <references count="1">
          <reference field="4294967294" count="1" selected="0">
            <x v="0"/>
          </reference>
        </references>
      </pivotArea>
    </chartFormat>
    <chartFormat chart="18" format="10">
      <pivotArea type="data" outline="0" fieldPosition="0">
        <references count="2">
          <reference field="4294967294" count="1" selected="0">
            <x v="0"/>
          </reference>
          <reference field="3" count="1" selected="0">
            <x v="0"/>
          </reference>
        </references>
      </pivotArea>
    </chartFormat>
    <chartFormat chart="18" format="11">
      <pivotArea type="data" outline="0" fieldPosition="0">
        <references count="2">
          <reference field="4294967294" count="1" selected="0">
            <x v="0"/>
          </reference>
          <reference field="3" count="1" selected="0">
            <x v="1"/>
          </reference>
        </references>
      </pivotArea>
    </chartFormat>
    <chartFormat chart="18" format="12">
      <pivotArea type="data" outline="0" fieldPosition="0">
        <references count="2">
          <reference field="4294967294" count="1" selected="0">
            <x v="0"/>
          </reference>
          <reference field="3" count="1" selected="0">
            <x v="2"/>
          </reference>
        </references>
      </pivotArea>
    </chartFormat>
    <chartFormat chart="18" format="13">
      <pivotArea type="data" outline="0" fieldPosition="0">
        <references count="2">
          <reference field="4294967294" count="1" selected="0">
            <x v="0"/>
          </reference>
          <reference field="3" count="1" selected="0">
            <x v="3"/>
          </reference>
        </references>
      </pivotArea>
    </chartFormat>
    <chartFormat chart="18" format="14">
      <pivotArea type="data" outline="0" fieldPosition="0">
        <references count="2">
          <reference field="4294967294" count="1" selected="0">
            <x v="0"/>
          </reference>
          <reference field="3" count="1" selected="0">
            <x v="4"/>
          </reference>
        </references>
      </pivotArea>
    </chartFormat>
    <chartFormat chart="19" format="9" series="1">
      <pivotArea type="data" outline="0" fieldPosition="0">
        <references count="1">
          <reference field="4294967294" count="1" selected="0">
            <x v="0"/>
          </reference>
        </references>
      </pivotArea>
    </chartFormat>
    <chartFormat chart="19" format="10">
      <pivotArea type="data" outline="0" fieldPosition="0">
        <references count="2">
          <reference field="4294967294" count="1" selected="0">
            <x v="0"/>
          </reference>
          <reference field="3" count="1" selected="0">
            <x v="0"/>
          </reference>
        </references>
      </pivotArea>
    </chartFormat>
    <chartFormat chart="19" format="11">
      <pivotArea type="data" outline="0" fieldPosition="0">
        <references count="2">
          <reference field="4294967294" count="1" selected="0">
            <x v="0"/>
          </reference>
          <reference field="3" count="1" selected="0">
            <x v="1"/>
          </reference>
        </references>
      </pivotArea>
    </chartFormat>
    <chartFormat chart="19" format="12">
      <pivotArea type="data" outline="0" fieldPosition="0">
        <references count="2">
          <reference field="4294967294" count="1" selected="0">
            <x v="0"/>
          </reference>
          <reference field="3" count="1" selected="0">
            <x v="2"/>
          </reference>
        </references>
      </pivotArea>
    </chartFormat>
    <chartFormat chart="19" format="13">
      <pivotArea type="data" outline="0" fieldPosition="0">
        <references count="2">
          <reference field="4294967294" count="1" selected="0">
            <x v="0"/>
          </reference>
          <reference field="3" count="1" selected="0">
            <x v="3"/>
          </reference>
        </references>
      </pivotArea>
    </chartFormat>
    <chartFormat chart="19" format="14">
      <pivotArea type="data" outline="0" fieldPosition="0">
        <references count="2">
          <reference field="4294967294" count="1" selected="0">
            <x v="0"/>
          </reference>
          <reference field="3" count="1" selected="0">
            <x v="4"/>
          </reference>
        </references>
      </pivotArea>
    </chartFormat>
    <chartFormat chart="13" format="14">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16"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2" rowHeaderCaption="Months">
  <location ref="D3:E16" firstHeaderRow="1" firstDataRow="1" firstDataCol="1"/>
  <pivotFields count="10">
    <pivotField showAll="0"/>
    <pivotField showAll="0"/>
    <pivotField showAll="0">
      <items count="6">
        <item x="4"/>
        <item x="1"/>
        <item x="3"/>
        <item x="2"/>
        <item x="0"/>
        <item t="default"/>
      </items>
    </pivotField>
    <pivotField showAll="0"/>
    <pivotField dataField="1" showAll="0"/>
    <pivotField showAll="0"/>
    <pivotField showAll="0"/>
    <pivotField numFmtId="14" showAll="0"/>
    <pivotField showAll="0"/>
    <pivotField axis="axisRow" showAll="0">
      <items count="13">
        <item x="9"/>
        <item x="10"/>
        <item x="11"/>
        <item x="0"/>
        <item x="1"/>
        <item x="2"/>
        <item x="3"/>
        <item x="4"/>
        <item x="5"/>
        <item x="6"/>
        <item x="7"/>
        <item x="8"/>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Sales" fld="4" baseField="0" baseItem="0"/>
  </dataFields>
  <chartFormats count="3">
    <chartFormat chart="9"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3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2" name="PivotTable3"/>
  </pivotTables>
  <data>
    <tabular pivotCacheId="1">
      <items count="12">
        <i x="9" s="1"/>
        <i x="10" s="1"/>
        <i x="11" s="1"/>
        <i x="0" s="1"/>
        <i x="1" s="1"/>
        <i x="2" s="1"/>
        <i x="3" s="1"/>
        <i x="4" s="1"/>
        <i x="5" s="1"/>
        <i x="6" s="1"/>
        <i x="7"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onth" cache="Slicer_month" caption="month" rowHeight="234950"/>
</slicers>
</file>

<file path=xl/tables/table1.xml><?xml version="1.0" encoding="utf-8"?>
<table xmlns="http://schemas.openxmlformats.org/spreadsheetml/2006/main" id="1" name="Table1" displayName="Table1" ref="A1:J201" totalsRowShown="0" headerRowDxfId="14" dataDxfId="12" headerRowBorderDxfId="13" tableBorderDxfId="11" totalsRowBorderDxfId="10">
  <autoFilter ref="A1:J201"/>
  <tableColumns count="10">
    <tableColumn id="1" name="Customer_ID" dataDxfId="9"/>
    <tableColumn id="2" name="Customer_Name" dataDxfId="8"/>
    <tableColumn id="3" name="Region" dataDxfId="7"/>
    <tableColumn id="4" name="Product_Category" dataDxfId="6"/>
    <tableColumn id="5" name="Sales" dataDxfId="5"/>
    <tableColumn id="6" name="Quantity" dataDxfId="4"/>
    <tableColumn id="7" name="Discount" dataDxfId="3"/>
    <tableColumn id="8" name="Order_Date" dataDxfId="2"/>
    <tableColumn id="9" name="Profit" dataDxfId="1"/>
    <tableColumn id="10" name="month" dataDxfId="0">
      <calculatedColumnFormula>TEXT(H2,"MMMM")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table" Target="../tables/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241"/>
  <sheetViews>
    <sheetView topLeftCell="A2" zoomScale="130" zoomScaleNormal="130" workbookViewId="0">
      <selection activeCell="A2" sqref="A2:J201"/>
    </sheetView>
  </sheetViews>
  <sheetFormatPr defaultRowHeight="14.4"/>
  <cols>
    <col min="1" max="1" width="14.109375" bestFit="1" customWidth="1"/>
    <col min="2" max="2" width="17.44140625" bestFit="1" customWidth="1"/>
    <col min="3" max="3" width="9" bestFit="1" customWidth="1"/>
    <col min="4" max="4" width="18.5546875" bestFit="1" customWidth="1"/>
    <col min="5" max="5" width="7.5546875" bestFit="1" customWidth="1"/>
    <col min="6" max="7" width="10.5546875" bestFit="1" customWidth="1"/>
    <col min="8" max="8" width="12.88671875" bestFit="1" customWidth="1"/>
    <col min="9" max="9" width="7.88671875" bestFit="1" customWidth="1"/>
    <col min="10" max="10" width="9.77734375" bestFit="1" customWidth="1"/>
    <col min="11" max="11" width="16.44140625" bestFit="1" customWidth="1"/>
    <col min="12" max="12" width="11.6640625" bestFit="1" customWidth="1"/>
    <col min="14" max="14" width="21.88671875" bestFit="1" customWidth="1"/>
    <col min="15" max="15" width="19.109375" customWidth="1"/>
    <col min="16" max="16" width="10.5546875" bestFit="1" customWidth="1"/>
    <col min="18" max="18" width="27.44140625" customWidth="1"/>
    <col min="19" max="19" width="15.44140625" customWidth="1"/>
    <col min="20" max="20" width="19.77734375" customWidth="1"/>
    <col min="21" max="21" width="19.109375" customWidth="1"/>
    <col min="22" max="22" width="17.5546875" customWidth="1"/>
    <col min="23" max="23" width="16" customWidth="1"/>
    <col min="24" max="24" width="15.77734375" customWidth="1"/>
    <col min="25" max="25" width="16.77734375" customWidth="1"/>
    <col min="26" max="26" width="7.21875" customWidth="1"/>
    <col min="27" max="27" width="16.33203125" bestFit="1" customWidth="1"/>
    <col min="28" max="29" width="7.21875" customWidth="1"/>
    <col min="30" max="30" width="16.6640625" customWidth="1"/>
    <col min="31" max="31" width="11.6640625" customWidth="1"/>
    <col min="32" max="32" width="7.21875" customWidth="1"/>
    <col min="33" max="33" width="12.5546875" customWidth="1"/>
    <col min="34" max="34" width="15.5546875" customWidth="1"/>
    <col min="35" max="35" width="9.33203125" customWidth="1"/>
    <col min="36" max="36" width="10" customWidth="1"/>
    <col min="37" max="37" width="9.33203125" customWidth="1"/>
    <col min="38" max="38" width="13.5546875" customWidth="1"/>
    <col min="39" max="39" width="10.77734375" customWidth="1"/>
    <col min="40" max="47" width="7.21875" customWidth="1"/>
    <col min="48" max="48" width="6.109375" customWidth="1"/>
    <col min="49" max="67" width="7.21875" customWidth="1"/>
    <col min="68" max="68" width="6.109375" customWidth="1"/>
    <col min="69" max="83" width="7.21875" customWidth="1"/>
    <col min="84" max="84" width="6.109375" customWidth="1"/>
    <col min="85" max="93" width="7.21875" customWidth="1"/>
    <col min="94" max="94" width="4" customWidth="1"/>
    <col min="95" max="96" width="7.21875" customWidth="1"/>
    <col min="97" max="97" width="6.109375" customWidth="1"/>
    <col min="98" max="100" width="7.21875" customWidth="1"/>
    <col min="101" max="101" width="6.109375" customWidth="1"/>
    <col min="102" max="116" width="7.21875" customWidth="1"/>
    <col min="117" max="118" width="6.109375" customWidth="1"/>
    <col min="119" max="121" width="7.21875" customWidth="1"/>
    <col min="122" max="122" width="6.109375" customWidth="1"/>
    <col min="123" max="125" width="7.21875" customWidth="1"/>
    <col min="126" max="126" width="6.109375" customWidth="1"/>
    <col min="127" max="130" width="7.21875" customWidth="1"/>
    <col min="131" max="142" width="8.21875" customWidth="1"/>
    <col min="143" max="144" width="7.21875" customWidth="1"/>
    <col min="145" max="157" width="8.21875" customWidth="1"/>
    <col min="158" max="158" width="7.21875" customWidth="1"/>
    <col min="159" max="180" width="8.21875" customWidth="1"/>
    <col min="181" max="181" width="7.21875" customWidth="1"/>
    <col min="182" max="189" width="8.21875" customWidth="1"/>
    <col min="190" max="190" width="7.21875" customWidth="1"/>
    <col min="191" max="205" width="8.21875" customWidth="1"/>
    <col min="206" max="206" width="7.21875" customWidth="1"/>
    <col min="207" max="217" width="8.21875" customWidth="1"/>
    <col min="218" max="218" width="7.21875" customWidth="1"/>
    <col min="219" max="224" width="8.21875" customWidth="1"/>
    <col min="225" max="225" width="11.44140625" bestFit="1" customWidth="1"/>
  </cols>
  <sheetData>
    <row r="1" spans="1:52" ht="81.599999999999994" customHeight="1" thickBot="1">
      <c r="A1" s="1" t="s">
        <v>0</v>
      </c>
      <c r="B1" s="2" t="s">
        <v>1</v>
      </c>
      <c r="C1" s="2" t="s">
        <v>2</v>
      </c>
      <c r="D1" s="2" t="s">
        <v>3</v>
      </c>
      <c r="E1" s="2" t="s">
        <v>4</v>
      </c>
      <c r="F1" s="2" t="s">
        <v>5</v>
      </c>
      <c r="G1" s="2" t="s">
        <v>6</v>
      </c>
      <c r="H1" s="2" t="s">
        <v>7</v>
      </c>
      <c r="I1" s="3" t="s">
        <v>8</v>
      </c>
      <c r="J1" s="2" t="s">
        <v>9</v>
      </c>
      <c r="K1" s="49" t="s">
        <v>10</v>
      </c>
      <c r="L1" s="50"/>
      <c r="N1" s="47" t="s">
        <v>11</v>
      </c>
      <c r="O1" s="47"/>
      <c r="P1" s="47"/>
      <c r="R1" s="47" t="s">
        <v>12</v>
      </c>
      <c r="S1" s="47"/>
      <c r="U1" s="47" t="s">
        <v>13</v>
      </c>
      <c r="V1" s="47"/>
      <c r="X1" s="47" t="s">
        <v>14</v>
      </c>
      <c r="Y1" s="47"/>
      <c r="AA1" s="47" t="s">
        <v>15</v>
      </c>
      <c r="AB1" s="47"/>
      <c r="AD1" s="47" t="s">
        <v>16</v>
      </c>
      <c r="AE1" s="47"/>
      <c r="AG1" s="47" t="s">
        <v>17</v>
      </c>
      <c r="AH1" s="47"/>
      <c r="AI1" s="47"/>
      <c r="AJ1" s="47"/>
      <c r="AK1" s="47"/>
      <c r="AL1" s="47"/>
      <c r="AM1" s="47"/>
      <c r="AO1" s="47" t="s">
        <v>18</v>
      </c>
      <c r="AP1" s="47"/>
      <c r="AQ1" s="47"/>
      <c r="AR1" s="47"/>
      <c r="AS1" s="47"/>
      <c r="AT1" s="47"/>
      <c r="AU1" s="47"/>
      <c r="AV1" s="47"/>
      <c r="AW1" s="47"/>
      <c r="AX1" s="47"/>
      <c r="AY1" s="47"/>
      <c r="AZ1" s="47"/>
    </row>
    <row r="2" spans="1:52" ht="15" thickBot="1">
      <c r="A2" s="4" t="s">
        <v>19</v>
      </c>
      <c r="B2" s="5" t="s">
        <v>20</v>
      </c>
      <c r="C2" s="5" t="s">
        <v>21</v>
      </c>
      <c r="D2" s="5" t="s">
        <v>22</v>
      </c>
      <c r="E2" s="6">
        <v>1036.0899999999999</v>
      </c>
      <c r="F2" s="6">
        <v>4</v>
      </c>
      <c r="G2" s="6">
        <v>0.39701184260054634</v>
      </c>
      <c r="H2" s="7">
        <v>45392</v>
      </c>
      <c r="I2" s="8">
        <v>331.55</v>
      </c>
      <c r="J2" s="9" t="str">
        <f t="shared" ref="J2:J65" si="0">TEXT(H2,"MMMM")</f>
        <v>April</v>
      </c>
      <c r="K2" s="24" t="s">
        <v>23</v>
      </c>
      <c r="L2" t="s">
        <v>24</v>
      </c>
      <c r="N2" s="51" t="s">
        <v>108</v>
      </c>
      <c r="O2" s="52"/>
      <c r="P2" s="53"/>
      <c r="R2" t="s">
        <v>122</v>
      </c>
      <c r="S2" t="s">
        <v>123</v>
      </c>
      <c r="U2" t="s">
        <v>129</v>
      </c>
      <c r="V2" t="s">
        <v>130</v>
      </c>
      <c r="X2" s="24" t="s">
        <v>25</v>
      </c>
      <c r="Y2" t="s">
        <v>24</v>
      </c>
      <c r="AA2" s="48">
        <f ca="1">NOW()</f>
        <v>46108.937831597221</v>
      </c>
      <c r="AB2" s="48"/>
      <c r="AD2" t="s">
        <v>26</v>
      </c>
      <c r="AE2" t="str">
        <f>INDEX(Table1[Customer_Name], MATCH(MAX(Table1[Sales]), Table1[Sales], 0))</f>
        <v>James Wilson</v>
      </c>
      <c r="AG2" s="24" t="s">
        <v>24</v>
      </c>
      <c r="AH2" s="24" t="s">
        <v>27</v>
      </c>
    </row>
    <row r="3" spans="1:52" ht="15" thickBot="1">
      <c r="A3" s="4" t="s">
        <v>28</v>
      </c>
      <c r="B3" s="5" t="s">
        <v>29</v>
      </c>
      <c r="C3" s="5" t="s">
        <v>21</v>
      </c>
      <c r="D3" s="5" t="s">
        <v>30</v>
      </c>
      <c r="E3" s="6">
        <v>1101.28</v>
      </c>
      <c r="F3" s="6">
        <v>3</v>
      </c>
      <c r="G3" s="6">
        <v>0.2</v>
      </c>
      <c r="H3" s="7">
        <v>45393</v>
      </c>
      <c r="I3" s="8">
        <v>440.51</v>
      </c>
      <c r="J3" s="6" t="str">
        <f t="shared" si="0"/>
        <v>April</v>
      </c>
      <c r="K3" s="10" t="s">
        <v>31</v>
      </c>
      <c r="L3" s="11">
        <v>5465.71</v>
      </c>
      <c r="N3">
        <f>(E2*F2)-(E2*F2*G2*100%)</f>
        <v>2498.9999999999995</v>
      </c>
      <c r="O3" s="12"/>
      <c r="R3" t="s">
        <v>4</v>
      </c>
      <c r="S3" t="s">
        <v>8</v>
      </c>
      <c r="U3" t="s">
        <v>124</v>
      </c>
      <c r="V3">
        <f>AVERAGE(R4:R16)</f>
        <v>1005.0138461538463</v>
      </c>
      <c r="X3" s="10" t="s">
        <v>32</v>
      </c>
      <c r="Y3" s="11">
        <v>14914.650000000001</v>
      </c>
      <c r="AG3" s="24" t="s">
        <v>25</v>
      </c>
      <c r="AH3" t="s">
        <v>22</v>
      </c>
      <c r="AI3" t="s">
        <v>30</v>
      </c>
      <c r="AJ3" t="s">
        <v>33</v>
      </c>
      <c r="AK3" t="s">
        <v>34</v>
      </c>
      <c r="AL3" t="s">
        <v>35</v>
      </c>
      <c r="AM3" t="s">
        <v>36</v>
      </c>
    </row>
    <row r="4" spans="1:52" ht="15" thickBot="1">
      <c r="A4" s="4" t="s">
        <v>37</v>
      </c>
      <c r="B4" s="5" t="s">
        <v>38</v>
      </c>
      <c r="C4" s="5" t="s">
        <v>39</v>
      </c>
      <c r="D4" s="5" t="s">
        <v>22</v>
      </c>
      <c r="E4" s="6">
        <v>713.34</v>
      </c>
      <c r="F4" s="6">
        <v>17</v>
      </c>
      <c r="G4" s="6">
        <v>0.90005590931805468</v>
      </c>
      <c r="H4" s="7">
        <v>45396</v>
      </c>
      <c r="I4" s="8">
        <v>285.33999999999997</v>
      </c>
      <c r="J4" s="6" t="str">
        <f t="shared" si="0"/>
        <v>April</v>
      </c>
      <c r="K4" s="10" t="s">
        <v>40</v>
      </c>
      <c r="L4" s="11">
        <v>11915.829999999998</v>
      </c>
      <c r="N4">
        <f>(E3*F3)-(E3*F3*G3*100%)</f>
        <v>2643.0720000000001</v>
      </c>
      <c r="R4">
        <v>965.64</v>
      </c>
      <c r="S4" s="31">
        <f>(S29*R4)+S30</f>
        <v>161951.07799145635</v>
      </c>
      <c r="T4" s="13"/>
      <c r="U4" t="s">
        <v>125</v>
      </c>
      <c r="V4" s="13">
        <f>_xlfn.STDEV.S(R4:R16)</f>
        <v>361.42694754123403</v>
      </c>
      <c r="W4" s="13"/>
      <c r="X4" s="10" t="s">
        <v>41</v>
      </c>
      <c r="Y4" s="11">
        <v>14006.359999999999</v>
      </c>
      <c r="AD4" s="24" t="s">
        <v>26</v>
      </c>
      <c r="AE4" t="s">
        <v>24</v>
      </c>
      <c r="AG4" s="10" t="s">
        <v>42</v>
      </c>
      <c r="AH4" s="11">
        <v>11297.150000000001</v>
      </c>
      <c r="AI4" s="11">
        <v>12200.26</v>
      </c>
      <c r="AJ4" s="11">
        <v>6621.24</v>
      </c>
      <c r="AK4" s="11">
        <v>4876.96</v>
      </c>
      <c r="AL4" s="11">
        <v>8472.7199999999993</v>
      </c>
      <c r="AM4" s="11">
        <v>43468.33</v>
      </c>
    </row>
    <row r="5" spans="1:52" ht="15" thickBot="1">
      <c r="A5" s="4" t="s">
        <v>43</v>
      </c>
      <c r="B5" s="5" t="s">
        <v>29</v>
      </c>
      <c r="C5" s="5" t="s">
        <v>44</v>
      </c>
      <c r="D5" s="5" t="s">
        <v>33</v>
      </c>
      <c r="E5" s="6">
        <v>760.93</v>
      </c>
      <c r="F5" s="6">
        <v>4</v>
      </c>
      <c r="G5" s="6">
        <v>0.15</v>
      </c>
      <c r="H5" s="7">
        <v>45396</v>
      </c>
      <c r="I5" s="8">
        <v>161.69999999999999</v>
      </c>
      <c r="J5" s="6" t="str">
        <f t="shared" si="0"/>
        <v>April</v>
      </c>
      <c r="K5" s="10" t="s">
        <v>45</v>
      </c>
      <c r="L5" s="11">
        <v>3819.1400000000003</v>
      </c>
      <c r="N5">
        <f>(E4*F4)-(E4*F4*G4*100%)</f>
        <v>1212.0000000000018</v>
      </c>
      <c r="R5">
        <v>1317.53</v>
      </c>
      <c r="S5" s="31">
        <f>(S29*R5)+S30</f>
        <v>162121.58286809444</v>
      </c>
      <c r="T5" s="13"/>
      <c r="U5" s="13" t="s">
        <v>126</v>
      </c>
      <c r="V5" s="13">
        <f>MIN(R4:R16)</f>
        <v>501.54</v>
      </c>
      <c r="W5" s="13"/>
      <c r="X5" s="10" t="s">
        <v>46</v>
      </c>
      <c r="Y5" s="11">
        <v>17655.219999999998</v>
      </c>
      <c r="AD5" s="10" t="s">
        <v>47</v>
      </c>
      <c r="AE5" s="11">
        <v>20774.739999999998</v>
      </c>
      <c r="AG5" s="10" t="s">
        <v>39</v>
      </c>
      <c r="AH5" s="11">
        <v>11389.090000000002</v>
      </c>
      <c r="AI5" s="11">
        <v>2401.4499999999998</v>
      </c>
      <c r="AJ5" s="11">
        <v>2869.54</v>
      </c>
      <c r="AK5" s="11">
        <v>7592.3399999999992</v>
      </c>
      <c r="AL5" s="11">
        <v>8189.2200000000012</v>
      </c>
      <c r="AM5" s="11">
        <v>32441.640000000003</v>
      </c>
    </row>
    <row r="6" spans="1:52" ht="15" thickBot="1">
      <c r="A6" s="4" t="s">
        <v>48</v>
      </c>
      <c r="B6" s="5" t="s">
        <v>47</v>
      </c>
      <c r="C6" s="5" t="s">
        <v>49</v>
      </c>
      <c r="D6" s="5" t="s">
        <v>22</v>
      </c>
      <c r="E6" s="6">
        <v>847</v>
      </c>
      <c r="F6" s="6">
        <v>12</v>
      </c>
      <c r="G6" s="6">
        <v>0.2</v>
      </c>
      <c r="H6" s="7">
        <v>45397</v>
      </c>
      <c r="I6" s="8">
        <v>271.04000000000002</v>
      </c>
      <c r="J6" s="6" t="str">
        <f t="shared" si="0"/>
        <v>April</v>
      </c>
      <c r="K6" s="10" t="s">
        <v>50</v>
      </c>
      <c r="L6" s="11">
        <v>1672.88</v>
      </c>
      <c r="N6">
        <f t="shared" ref="N6:N69" si="1">(E5*F5)-(E5*F5*G5*100%)</f>
        <v>2587.1619999999998</v>
      </c>
      <c r="O6" s="12"/>
      <c r="P6" s="12"/>
      <c r="R6">
        <v>1074.47</v>
      </c>
      <c r="S6" s="32">
        <f>(S29*R6)+S30</f>
        <v>162003.8105093583</v>
      </c>
      <c r="T6" s="14"/>
      <c r="U6" s="34" t="s">
        <v>127</v>
      </c>
      <c r="V6" s="13">
        <f>MAX(R4:R16)</f>
        <v>1572.82</v>
      </c>
      <c r="W6" s="13"/>
      <c r="X6" s="10" t="s">
        <v>51</v>
      </c>
      <c r="Y6" s="11">
        <v>22242.129999999997</v>
      </c>
      <c r="AD6" s="10" t="s">
        <v>36</v>
      </c>
      <c r="AE6" s="11">
        <v>20774.739999999998</v>
      </c>
      <c r="AG6" s="10" t="s">
        <v>49</v>
      </c>
      <c r="AH6" s="11">
        <v>8037.0100000000011</v>
      </c>
      <c r="AI6" s="11">
        <v>8422.82</v>
      </c>
      <c r="AJ6" s="11">
        <v>8191.7099999999991</v>
      </c>
      <c r="AK6" s="11">
        <v>6978.08</v>
      </c>
      <c r="AL6" s="11">
        <v>3345.8</v>
      </c>
      <c r="AM6" s="11">
        <v>34975.420000000006</v>
      </c>
    </row>
    <row r="7" spans="1:52" ht="15" thickBot="1">
      <c r="A7" s="4" t="s">
        <v>52</v>
      </c>
      <c r="B7" s="5" t="s">
        <v>53</v>
      </c>
      <c r="C7" s="5" t="s">
        <v>49</v>
      </c>
      <c r="D7" s="5" t="s">
        <v>34</v>
      </c>
      <c r="E7" s="6">
        <v>965.64</v>
      </c>
      <c r="F7" s="6">
        <v>8</v>
      </c>
      <c r="G7" s="6">
        <v>0.1</v>
      </c>
      <c r="H7" s="7">
        <v>45398</v>
      </c>
      <c r="I7" s="8">
        <v>304.18</v>
      </c>
      <c r="J7" s="6" t="str">
        <f t="shared" si="0"/>
        <v>April</v>
      </c>
      <c r="K7" s="10" t="s">
        <v>54</v>
      </c>
      <c r="L7" s="11">
        <v>7020.3799999999992</v>
      </c>
      <c r="N7">
        <f t="shared" si="1"/>
        <v>8131.2</v>
      </c>
      <c r="O7" s="15"/>
      <c r="R7">
        <v>501.54</v>
      </c>
      <c r="S7" s="33">
        <f>(S29*R7)+S30</f>
        <v>161726.20285079381</v>
      </c>
      <c r="T7" s="16"/>
      <c r="U7" s="34" t="s">
        <v>128</v>
      </c>
      <c r="V7">
        <f>COUNT(R4:R16)</f>
        <v>13</v>
      </c>
      <c r="W7" s="13"/>
      <c r="X7" s="10" t="s">
        <v>55</v>
      </c>
      <c r="Y7" s="11">
        <v>18507.339999999997</v>
      </c>
      <c r="AG7" s="10" t="s">
        <v>44</v>
      </c>
      <c r="AH7" s="11">
        <v>9588.0400000000009</v>
      </c>
      <c r="AI7" s="11">
        <v>8393.630000000001</v>
      </c>
      <c r="AJ7" s="11">
        <v>11989.070000000003</v>
      </c>
      <c r="AK7" s="11">
        <v>7982.73</v>
      </c>
      <c r="AL7" s="11">
        <v>2295.3199999999997</v>
      </c>
      <c r="AM7" s="11">
        <v>40248.79</v>
      </c>
    </row>
    <row r="8" spans="1:52" ht="15" thickBot="1">
      <c r="A8" s="4" t="s">
        <v>56</v>
      </c>
      <c r="B8" s="5" t="s">
        <v>57</v>
      </c>
      <c r="C8" s="5" t="s">
        <v>21</v>
      </c>
      <c r="D8" s="5" t="s">
        <v>33</v>
      </c>
      <c r="E8" s="6">
        <v>1317.53</v>
      </c>
      <c r="F8" s="6">
        <v>12</v>
      </c>
      <c r="G8" s="6">
        <v>0.05</v>
      </c>
      <c r="H8" s="7">
        <v>45398</v>
      </c>
      <c r="I8" s="8">
        <v>312.91000000000003</v>
      </c>
      <c r="J8" s="6" t="str">
        <f t="shared" si="0"/>
        <v>April</v>
      </c>
      <c r="K8" s="10" t="s">
        <v>58</v>
      </c>
      <c r="L8" s="11">
        <v>11398.32</v>
      </c>
      <c r="N8">
        <f t="shared" si="1"/>
        <v>6952.6080000000002</v>
      </c>
      <c r="O8" s="12"/>
      <c r="R8">
        <v>737.31</v>
      </c>
      <c r="S8" s="33">
        <f>($S$29*R8)+$S$30</f>
        <v>161840.44291094033</v>
      </c>
      <c r="T8" s="16"/>
      <c r="U8" s="13"/>
      <c r="V8" s="13"/>
      <c r="W8" s="13"/>
      <c r="X8" s="10" t="s">
        <v>59</v>
      </c>
      <c r="Y8" s="11">
        <v>20187.509999999998</v>
      </c>
      <c r="AG8" s="10" t="s">
        <v>21</v>
      </c>
      <c r="AH8" s="11">
        <v>6691.17</v>
      </c>
      <c r="AI8" s="11">
        <v>10509.429999999998</v>
      </c>
      <c r="AJ8" s="11">
        <v>11372.44</v>
      </c>
      <c r="AK8" s="11">
        <v>9182.7800000000007</v>
      </c>
      <c r="AL8" s="11">
        <v>6327.76</v>
      </c>
      <c r="AM8" s="11">
        <v>44083.58</v>
      </c>
    </row>
    <row r="9" spans="1:52" ht="15" thickBot="1">
      <c r="A9" s="4" t="s">
        <v>60</v>
      </c>
      <c r="B9" s="5" t="s">
        <v>61</v>
      </c>
      <c r="C9" s="5" t="s">
        <v>39</v>
      </c>
      <c r="D9" s="5" t="s">
        <v>34</v>
      </c>
      <c r="E9" s="6">
        <v>1074.47</v>
      </c>
      <c r="F9" s="6">
        <v>6</v>
      </c>
      <c r="G9" s="6">
        <v>0.2</v>
      </c>
      <c r="H9" s="7">
        <v>45401</v>
      </c>
      <c r="I9" s="8">
        <v>300.85000000000002</v>
      </c>
      <c r="J9" s="6" t="str">
        <f t="shared" si="0"/>
        <v>April</v>
      </c>
      <c r="K9" s="10" t="s">
        <v>62</v>
      </c>
      <c r="L9" s="11">
        <v>5014.96</v>
      </c>
      <c r="N9">
        <f t="shared" si="1"/>
        <v>15019.842000000001</v>
      </c>
      <c r="O9" s="12"/>
      <c r="R9">
        <v>1572.82</v>
      </c>
      <c r="S9" s="33">
        <f>($S$29*R9)+$S$30</f>
        <v>162245.28115436839</v>
      </c>
      <c r="T9" s="16"/>
      <c r="U9" s="13"/>
      <c r="V9" s="13"/>
      <c r="W9" s="13"/>
      <c r="X9" s="10" t="s">
        <v>63</v>
      </c>
      <c r="Y9" s="11">
        <v>11609.039999999999</v>
      </c>
      <c r="AG9" s="10" t="s">
        <v>36</v>
      </c>
      <c r="AH9" s="11">
        <v>47002.460000000006</v>
      </c>
      <c r="AI9" s="11">
        <v>41927.589999999997</v>
      </c>
      <c r="AJ9" s="11">
        <v>41044</v>
      </c>
      <c r="AK9" s="11">
        <v>36612.89</v>
      </c>
      <c r="AL9" s="11">
        <v>28630.82</v>
      </c>
      <c r="AM9" s="11">
        <v>195217.76</v>
      </c>
    </row>
    <row r="10" spans="1:52" ht="15" thickBot="1">
      <c r="A10" s="4" t="s">
        <v>64</v>
      </c>
      <c r="B10" s="5" t="s">
        <v>65</v>
      </c>
      <c r="C10" s="5" t="s">
        <v>42</v>
      </c>
      <c r="D10" s="5" t="s">
        <v>22</v>
      </c>
      <c r="E10" s="6">
        <v>501.54</v>
      </c>
      <c r="F10" s="6">
        <v>11</v>
      </c>
      <c r="G10" s="6">
        <v>0.05</v>
      </c>
      <c r="H10" s="7">
        <v>45401</v>
      </c>
      <c r="I10" s="8">
        <v>190.59</v>
      </c>
      <c r="J10" s="6" t="str">
        <f t="shared" si="0"/>
        <v>April</v>
      </c>
      <c r="K10" s="10" t="s">
        <v>66</v>
      </c>
      <c r="L10" s="11">
        <v>8543.9699999999993</v>
      </c>
      <c r="N10">
        <f t="shared" si="1"/>
        <v>5157.4560000000001</v>
      </c>
      <c r="O10" s="12"/>
      <c r="R10">
        <v>1343.13</v>
      </c>
      <c r="S10" s="33">
        <f t="shared" ref="S10:S16" si="2">($S$29*R10)+$S$30</f>
        <v>162133.98709908122</v>
      </c>
      <c r="T10" s="16"/>
      <c r="U10" s="13"/>
      <c r="V10" s="13"/>
      <c r="W10" s="13"/>
      <c r="X10" s="10" t="s">
        <v>67</v>
      </c>
      <c r="Y10" s="11">
        <v>10091.699999999999</v>
      </c>
    </row>
    <row r="11" spans="1:52" ht="15" thickBot="1">
      <c r="A11" s="4" t="s">
        <v>68</v>
      </c>
      <c r="B11" s="5" t="s">
        <v>54</v>
      </c>
      <c r="C11" s="5" t="s">
        <v>42</v>
      </c>
      <c r="D11" s="5" t="s">
        <v>30</v>
      </c>
      <c r="E11" s="6">
        <v>737.31</v>
      </c>
      <c r="F11" s="6">
        <v>2</v>
      </c>
      <c r="G11" s="6">
        <v>0.05</v>
      </c>
      <c r="H11" s="7">
        <v>45401</v>
      </c>
      <c r="I11" s="8">
        <v>350.22</v>
      </c>
      <c r="J11" s="6" t="str">
        <f t="shared" si="0"/>
        <v>April</v>
      </c>
      <c r="K11" s="10" t="s">
        <v>20</v>
      </c>
      <c r="L11" s="11">
        <v>6255.7</v>
      </c>
      <c r="N11">
        <f t="shared" si="1"/>
        <v>5241.0930000000008</v>
      </c>
      <c r="R11">
        <v>1191.58</v>
      </c>
      <c r="S11" s="33">
        <f t="shared" si="2"/>
        <v>162060.55502072006</v>
      </c>
      <c r="T11" s="16"/>
      <c r="U11" s="13"/>
      <c r="V11" s="13"/>
      <c r="W11" s="13"/>
      <c r="X11" s="10" t="s">
        <v>69</v>
      </c>
      <c r="Y11" s="11">
        <v>20533.499999999996</v>
      </c>
    </row>
    <row r="12" spans="1:52" ht="15" thickBot="1">
      <c r="A12" s="4" t="s">
        <v>70</v>
      </c>
      <c r="B12" s="5" t="s">
        <v>58</v>
      </c>
      <c r="C12" s="5" t="s">
        <v>21</v>
      </c>
      <c r="D12" s="5" t="s">
        <v>35</v>
      </c>
      <c r="E12" s="6">
        <v>1572.82</v>
      </c>
      <c r="F12" s="6">
        <v>6</v>
      </c>
      <c r="G12" s="6">
        <v>0.05</v>
      </c>
      <c r="H12" s="7">
        <v>45402</v>
      </c>
      <c r="I12" s="8">
        <v>672.38</v>
      </c>
      <c r="J12" s="6" t="str">
        <f t="shared" si="0"/>
        <v>April</v>
      </c>
      <c r="K12" s="10" t="s">
        <v>38</v>
      </c>
      <c r="L12" s="11">
        <v>5615.2800000000007</v>
      </c>
      <c r="N12">
        <f t="shared" si="1"/>
        <v>1400.8889999999999</v>
      </c>
      <c r="R12">
        <v>822.28</v>
      </c>
      <c r="S12" s="33">
        <f t="shared" si="2"/>
        <v>161881.61429793041</v>
      </c>
      <c r="T12" s="13"/>
      <c r="U12" s="13"/>
      <c r="V12" s="13"/>
      <c r="W12" s="13"/>
      <c r="X12" s="10" t="s">
        <v>71</v>
      </c>
      <c r="Y12" s="11">
        <v>14215.240000000002</v>
      </c>
    </row>
    <row r="13" spans="1:52" ht="15" thickBot="1">
      <c r="A13" s="4" t="s">
        <v>70</v>
      </c>
      <c r="B13" s="5" t="s">
        <v>54</v>
      </c>
      <c r="C13" s="5" t="s">
        <v>42</v>
      </c>
      <c r="D13" s="5" t="s">
        <v>22</v>
      </c>
      <c r="E13" s="6">
        <v>1343.13</v>
      </c>
      <c r="F13" s="6">
        <v>14</v>
      </c>
      <c r="G13" s="6">
        <v>0.15</v>
      </c>
      <c r="H13" s="7">
        <v>45404</v>
      </c>
      <c r="I13" s="8">
        <v>456.66</v>
      </c>
      <c r="J13" s="6" t="str">
        <f t="shared" si="0"/>
        <v>April</v>
      </c>
      <c r="K13" s="10" t="s">
        <v>47</v>
      </c>
      <c r="L13" s="11">
        <v>20774.739999999998</v>
      </c>
      <c r="N13">
        <f t="shared" si="1"/>
        <v>8965.0740000000005</v>
      </c>
      <c r="R13">
        <v>521.66999999999996</v>
      </c>
      <c r="S13" s="33">
        <f t="shared" si="2"/>
        <v>161735.9566464877</v>
      </c>
      <c r="T13" s="13"/>
      <c r="U13" s="13"/>
      <c r="V13" s="13"/>
      <c r="W13" s="13"/>
      <c r="X13" s="10" t="s">
        <v>72</v>
      </c>
      <c r="Y13" s="11">
        <v>20135.030000000002</v>
      </c>
    </row>
    <row r="14" spans="1:52" ht="15" thickBot="1">
      <c r="A14" s="4" t="s">
        <v>52</v>
      </c>
      <c r="B14" s="5" t="s">
        <v>53</v>
      </c>
      <c r="C14" s="5" t="s">
        <v>42</v>
      </c>
      <c r="D14" s="5" t="s">
        <v>22</v>
      </c>
      <c r="E14" s="6">
        <v>1191.58</v>
      </c>
      <c r="F14" s="6">
        <v>14</v>
      </c>
      <c r="G14" s="6">
        <v>0.05</v>
      </c>
      <c r="H14" s="7">
        <v>45406</v>
      </c>
      <c r="I14" s="8">
        <v>452.8</v>
      </c>
      <c r="J14" s="6" t="str">
        <f t="shared" si="0"/>
        <v>April</v>
      </c>
      <c r="K14" s="10" t="s">
        <v>73</v>
      </c>
      <c r="L14" s="11">
        <v>1450.99</v>
      </c>
      <c r="N14">
        <f t="shared" si="1"/>
        <v>15983.246999999999</v>
      </c>
      <c r="R14">
        <v>1502.93</v>
      </c>
      <c r="S14" s="33">
        <f t="shared" si="2"/>
        <v>162211.41663469395</v>
      </c>
      <c r="T14" s="17"/>
      <c r="U14" s="17"/>
      <c r="V14" s="17"/>
      <c r="W14" s="17"/>
      <c r="X14" s="10" t="s">
        <v>74</v>
      </c>
      <c r="Y14" s="11">
        <v>11120.04</v>
      </c>
    </row>
    <row r="15" spans="1:52" ht="15" thickBot="1">
      <c r="A15" s="4" t="s">
        <v>75</v>
      </c>
      <c r="B15" s="5" t="s">
        <v>29</v>
      </c>
      <c r="C15" s="5" t="s">
        <v>21</v>
      </c>
      <c r="D15" s="5" t="s">
        <v>34</v>
      </c>
      <c r="E15" s="6">
        <v>822.28</v>
      </c>
      <c r="F15" s="6">
        <v>7</v>
      </c>
      <c r="G15" s="6">
        <v>0.05</v>
      </c>
      <c r="H15" s="7">
        <v>45406</v>
      </c>
      <c r="I15" s="8">
        <v>273.41000000000003</v>
      </c>
      <c r="J15" s="6" t="str">
        <f t="shared" si="0"/>
        <v>April</v>
      </c>
      <c r="K15" s="10" t="s">
        <v>76</v>
      </c>
      <c r="L15" s="11">
        <v>5801.29</v>
      </c>
      <c r="N15">
        <f t="shared" si="1"/>
        <v>15848.013999999999</v>
      </c>
      <c r="R15">
        <v>877.58</v>
      </c>
      <c r="S15" s="33">
        <f t="shared" si="2"/>
        <v>161908.40937502292</v>
      </c>
      <c r="T15" s="16"/>
      <c r="U15" s="16"/>
      <c r="V15" s="16"/>
      <c r="W15" s="16"/>
      <c r="X15" s="10" t="s">
        <v>36</v>
      </c>
      <c r="Y15" s="11">
        <v>195217.75999999995</v>
      </c>
    </row>
    <row r="16" spans="1:52" ht="15" thickBot="1">
      <c r="A16" s="4" t="s">
        <v>77</v>
      </c>
      <c r="B16" s="5" t="s">
        <v>50</v>
      </c>
      <c r="C16" s="5" t="s">
        <v>49</v>
      </c>
      <c r="D16" s="5" t="s">
        <v>34</v>
      </c>
      <c r="E16" s="6">
        <v>521.66999999999996</v>
      </c>
      <c r="F16" s="6">
        <v>15</v>
      </c>
      <c r="G16" s="6">
        <v>0.15</v>
      </c>
      <c r="H16" s="7">
        <v>45409</v>
      </c>
      <c r="I16" s="8">
        <v>155.19999999999999</v>
      </c>
      <c r="J16" s="6" t="str">
        <f t="shared" si="0"/>
        <v>April</v>
      </c>
      <c r="K16" s="10" t="s">
        <v>78</v>
      </c>
      <c r="L16" s="11">
        <v>856.7</v>
      </c>
      <c r="N16">
        <f t="shared" si="1"/>
        <v>5468.1620000000003</v>
      </c>
      <c r="R16">
        <v>636.70000000000005</v>
      </c>
      <c r="S16" s="33">
        <f t="shared" si="2"/>
        <v>161791.69331408179</v>
      </c>
      <c r="T16" s="16"/>
      <c r="U16" s="16"/>
      <c r="V16" s="16"/>
      <c r="W16" s="16"/>
    </row>
    <row r="17" spans="1:25" ht="15" thickBot="1">
      <c r="A17" s="4" t="s">
        <v>43</v>
      </c>
      <c r="B17" s="5" t="s">
        <v>79</v>
      </c>
      <c r="C17" s="5" t="s">
        <v>44</v>
      </c>
      <c r="D17" s="5" t="s">
        <v>33</v>
      </c>
      <c r="E17" s="6">
        <v>1502.93</v>
      </c>
      <c r="F17" s="6">
        <v>14</v>
      </c>
      <c r="G17" s="6">
        <v>0.2</v>
      </c>
      <c r="H17" s="7">
        <v>45410</v>
      </c>
      <c r="I17" s="8">
        <v>300.58999999999997</v>
      </c>
      <c r="J17" s="6" t="str">
        <f t="shared" si="0"/>
        <v>April</v>
      </c>
      <c r="K17" s="10" t="s">
        <v>65</v>
      </c>
      <c r="L17" s="11">
        <v>3968.59</v>
      </c>
      <c r="N17">
        <f t="shared" si="1"/>
        <v>6651.2924999999996</v>
      </c>
      <c r="S17" s="16"/>
      <c r="T17" s="16"/>
      <c r="U17" s="16"/>
      <c r="V17" s="16"/>
      <c r="W17" s="16"/>
    </row>
    <row r="18" spans="1:25" ht="15" thickBot="1">
      <c r="A18" s="4" t="s">
        <v>80</v>
      </c>
      <c r="B18" s="5" t="s">
        <v>29</v>
      </c>
      <c r="C18" s="5" t="s">
        <v>44</v>
      </c>
      <c r="D18" s="5" t="s">
        <v>22</v>
      </c>
      <c r="E18" s="6">
        <v>877.58</v>
      </c>
      <c r="F18" s="6">
        <v>10</v>
      </c>
      <c r="G18" s="6">
        <v>0.15</v>
      </c>
      <c r="H18" s="7">
        <v>45411</v>
      </c>
      <c r="I18" s="8">
        <v>298.38</v>
      </c>
      <c r="J18" s="6" t="str">
        <f t="shared" si="0"/>
        <v>April</v>
      </c>
      <c r="K18" s="10" t="s">
        <v>81</v>
      </c>
      <c r="L18" s="11">
        <v>2304.9</v>
      </c>
      <c r="N18">
        <f t="shared" si="1"/>
        <v>16832.815999999999</v>
      </c>
      <c r="S18" s="13"/>
      <c r="T18" s="13"/>
      <c r="U18" s="13"/>
      <c r="V18" s="13"/>
      <c r="W18" s="13"/>
    </row>
    <row r="19" spans="1:25" ht="15" thickBot="1">
      <c r="A19" s="4" t="s">
        <v>56</v>
      </c>
      <c r="B19" s="5" t="s">
        <v>82</v>
      </c>
      <c r="C19" s="5" t="s">
        <v>21</v>
      </c>
      <c r="D19" s="5" t="s">
        <v>22</v>
      </c>
      <c r="E19" s="6">
        <v>636.70000000000005</v>
      </c>
      <c r="F19" s="6">
        <v>4</v>
      </c>
      <c r="G19" s="6">
        <v>0.2</v>
      </c>
      <c r="H19" s="7">
        <v>45411</v>
      </c>
      <c r="I19" s="8">
        <v>203.74</v>
      </c>
      <c r="J19" s="6" t="str">
        <f t="shared" si="0"/>
        <v>April</v>
      </c>
      <c r="K19" s="10" t="s">
        <v>83</v>
      </c>
      <c r="L19" s="11">
        <v>7522.77</v>
      </c>
      <c r="N19">
        <f t="shared" si="1"/>
        <v>7459.4300000000012</v>
      </c>
      <c r="R19" s="38" t="s">
        <v>109</v>
      </c>
      <c r="S19" s="39"/>
      <c r="T19" s="39"/>
      <c r="U19" s="39"/>
      <c r="V19" s="39"/>
      <c r="W19" s="39"/>
      <c r="X19" s="39"/>
      <c r="Y19" s="40"/>
    </row>
    <row r="20" spans="1:25" ht="42" thickBot="1">
      <c r="A20" s="4" t="s">
        <v>84</v>
      </c>
      <c r="B20" s="5" t="s">
        <v>85</v>
      </c>
      <c r="C20" s="5" t="s">
        <v>21</v>
      </c>
      <c r="D20" s="5" t="s">
        <v>22</v>
      </c>
      <c r="E20" s="6">
        <v>1506.14</v>
      </c>
      <c r="F20" s="6">
        <v>13</v>
      </c>
      <c r="G20" s="6">
        <v>0.2</v>
      </c>
      <c r="H20" s="7">
        <v>45412</v>
      </c>
      <c r="I20" s="8">
        <v>481.96</v>
      </c>
      <c r="J20" s="6" t="str">
        <f t="shared" si="0"/>
        <v>April</v>
      </c>
      <c r="K20" s="10" t="s">
        <v>57</v>
      </c>
      <c r="L20" s="11">
        <v>9970.1999999999989</v>
      </c>
      <c r="N20">
        <f t="shared" si="1"/>
        <v>2037.44</v>
      </c>
      <c r="R20" s="25" t="s">
        <v>110</v>
      </c>
      <c r="S20" s="25" t="s">
        <v>111</v>
      </c>
      <c r="T20" s="25" t="s">
        <v>112</v>
      </c>
      <c r="U20" s="25" t="s">
        <v>113</v>
      </c>
      <c r="V20" s="25" t="s">
        <v>114</v>
      </c>
      <c r="W20" s="25" t="s">
        <v>115</v>
      </c>
      <c r="X20" s="25" t="s">
        <v>116</v>
      </c>
      <c r="Y20" s="25" t="s">
        <v>117</v>
      </c>
    </row>
    <row r="21" spans="1:25" ht="15" thickBot="1">
      <c r="A21" s="4" t="s">
        <v>60</v>
      </c>
      <c r="B21" s="5" t="s">
        <v>61</v>
      </c>
      <c r="C21" s="5" t="s">
        <v>42</v>
      </c>
      <c r="D21" s="5" t="s">
        <v>33</v>
      </c>
      <c r="E21" s="6">
        <v>645.02</v>
      </c>
      <c r="F21" s="6">
        <v>4</v>
      </c>
      <c r="G21" s="6">
        <v>0</v>
      </c>
      <c r="H21" s="7">
        <v>45414</v>
      </c>
      <c r="I21" s="8">
        <v>161.26</v>
      </c>
      <c r="J21" s="6" t="str">
        <f t="shared" si="0"/>
        <v>May</v>
      </c>
      <c r="K21" s="10" t="s">
        <v>86</v>
      </c>
      <c r="L21" s="11">
        <v>8090.12</v>
      </c>
      <c r="N21">
        <f t="shared" si="1"/>
        <v>15663.856</v>
      </c>
      <c r="R21" s="41">
        <f>AVERAGE(Table1[Sales])</f>
        <v>976.08879999999965</v>
      </c>
      <c r="S21" s="44">
        <f>AVERAGE(Table1[Profit])</f>
        <v>341.43505000000005</v>
      </c>
      <c r="T21" s="26">
        <f>R21-E2</f>
        <v>-60.001200000000267</v>
      </c>
      <c r="U21" s="27">
        <f>S21-I2</f>
        <v>9.8850500000000352</v>
      </c>
      <c r="V21" s="26">
        <f>T21*U21</f>
        <v>-593.11486206000473</v>
      </c>
      <c r="W21" s="41">
        <f>SUM(V21:V24)</f>
        <v>65220.681767759976</v>
      </c>
      <c r="X21" s="26">
        <f>T21*T21</f>
        <v>3600.1440014400318</v>
      </c>
      <c r="Y21" s="41">
        <f>SUM(X21:X24)</f>
        <v>134603.22167775978</v>
      </c>
    </row>
    <row r="22" spans="1:25" ht="15" thickBot="1">
      <c r="A22" s="4" t="s">
        <v>52</v>
      </c>
      <c r="B22" s="5" t="s">
        <v>86</v>
      </c>
      <c r="C22" s="5" t="s">
        <v>44</v>
      </c>
      <c r="D22" s="5" t="s">
        <v>30</v>
      </c>
      <c r="E22" s="6">
        <v>953.3</v>
      </c>
      <c r="F22" s="6">
        <v>11</v>
      </c>
      <c r="G22" s="6">
        <v>0</v>
      </c>
      <c r="H22" s="7">
        <v>45415</v>
      </c>
      <c r="I22" s="8">
        <v>476.65</v>
      </c>
      <c r="J22" s="6" t="str">
        <f t="shared" si="0"/>
        <v>May</v>
      </c>
      <c r="K22" s="10" t="s">
        <v>82</v>
      </c>
      <c r="L22" s="11">
        <v>8635.9500000000007</v>
      </c>
      <c r="N22">
        <f t="shared" si="1"/>
        <v>2580.08</v>
      </c>
      <c r="R22" s="42"/>
      <c r="S22" s="45"/>
      <c r="T22" s="26">
        <f>R21-E3</f>
        <v>-125.19120000000032</v>
      </c>
      <c r="U22" s="27">
        <f>S21-I3</f>
        <v>-99.074949999999944</v>
      </c>
      <c r="V22" s="26">
        <f>T22*U22</f>
        <v>12403.311880440026</v>
      </c>
      <c r="W22" s="42"/>
      <c r="X22" s="26">
        <f>T22*T22</f>
        <v>15672.836557440081</v>
      </c>
      <c r="Y22" s="42"/>
    </row>
    <row r="23" spans="1:25" ht="15" thickBot="1">
      <c r="A23" s="4" t="s">
        <v>87</v>
      </c>
      <c r="B23" s="5" t="s">
        <v>29</v>
      </c>
      <c r="C23" s="5" t="s">
        <v>49</v>
      </c>
      <c r="D23" s="5" t="s">
        <v>33</v>
      </c>
      <c r="E23" s="6">
        <v>388.56</v>
      </c>
      <c r="F23" s="6">
        <v>14</v>
      </c>
      <c r="G23" s="6">
        <v>0.15</v>
      </c>
      <c r="H23" s="7">
        <v>45416</v>
      </c>
      <c r="I23" s="8">
        <v>82.57</v>
      </c>
      <c r="J23" s="6" t="str">
        <f t="shared" si="0"/>
        <v>May</v>
      </c>
      <c r="K23" s="10" t="s">
        <v>61</v>
      </c>
      <c r="L23" s="11">
        <v>17143.289999999997</v>
      </c>
      <c r="N23">
        <f t="shared" si="1"/>
        <v>10486.3</v>
      </c>
      <c r="R23" s="42"/>
      <c r="S23" s="45"/>
      <c r="T23" s="26">
        <f>R21-E4</f>
        <v>262.74879999999962</v>
      </c>
      <c r="U23" s="27">
        <f>S21-I4</f>
        <v>56.095050000000072</v>
      </c>
      <c r="V23" s="26">
        <f>T23*U23</f>
        <v>14738.907073439997</v>
      </c>
      <c r="W23" s="42"/>
      <c r="X23" s="26">
        <f>T23*T23</f>
        <v>69036.931901439806</v>
      </c>
      <c r="Y23" s="42"/>
    </row>
    <row r="24" spans="1:25" ht="15" thickBot="1">
      <c r="A24" s="4" t="s">
        <v>19</v>
      </c>
      <c r="B24" s="5" t="s">
        <v>61</v>
      </c>
      <c r="C24" s="5" t="s">
        <v>21</v>
      </c>
      <c r="D24" s="5" t="s">
        <v>22</v>
      </c>
      <c r="E24" s="6">
        <v>743.17</v>
      </c>
      <c r="F24" s="6">
        <v>9</v>
      </c>
      <c r="G24" s="6">
        <v>0</v>
      </c>
      <c r="H24" s="7">
        <v>45416</v>
      </c>
      <c r="I24" s="8">
        <v>297.27</v>
      </c>
      <c r="J24" s="6" t="str">
        <f t="shared" si="0"/>
        <v>May</v>
      </c>
      <c r="K24" s="10" t="s">
        <v>85</v>
      </c>
      <c r="L24" s="11">
        <v>7251.18</v>
      </c>
      <c r="N24">
        <f t="shared" si="1"/>
        <v>4623.8640000000005</v>
      </c>
      <c r="R24" s="43"/>
      <c r="S24" s="46"/>
      <c r="T24" s="26">
        <f>R21-E5</f>
        <v>215.1587999999997</v>
      </c>
      <c r="U24" s="27">
        <f>S21-I5</f>
        <v>179.73505000000006</v>
      </c>
      <c r="V24" s="26">
        <f>T24*U24</f>
        <v>38671.57767593996</v>
      </c>
      <c r="W24" s="43"/>
      <c r="X24" s="26">
        <f>T24*T24</f>
        <v>46293.30921743987</v>
      </c>
      <c r="Y24" s="43"/>
    </row>
    <row r="25" spans="1:25" ht="15" thickBot="1">
      <c r="A25" s="4" t="s">
        <v>75</v>
      </c>
      <c r="B25" s="5" t="s">
        <v>61</v>
      </c>
      <c r="C25" s="5" t="s">
        <v>42</v>
      </c>
      <c r="D25" s="5" t="s">
        <v>33</v>
      </c>
      <c r="E25" s="6">
        <v>706.37</v>
      </c>
      <c r="F25" s="6">
        <v>6</v>
      </c>
      <c r="G25" s="6">
        <v>0</v>
      </c>
      <c r="H25" s="7">
        <v>45416</v>
      </c>
      <c r="I25" s="8">
        <v>176.59</v>
      </c>
      <c r="J25" s="6" t="str">
        <f t="shared" si="0"/>
        <v>May</v>
      </c>
      <c r="K25" s="10" t="s">
        <v>88</v>
      </c>
      <c r="L25" s="11">
        <v>5443.34</v>
      </c>
      <c r="N25">
        <f t="shared" si="1"/>
        <v>6688.53</v>
      </c>
      <c r="R25" s="28"/>
      <c r="S25" s="28"/>
      <c r="T25" s="28"/>
      <c r="U25" s="28"/>
      <c r="V25" s="28"/>
      <c r="W25" s="28"/>
      <c r="X25" s="29"/>
      <c r="Y25" s="29"/>
    </row>
    <row r="26" spans="1:25" ht="15" thickBot="1">
      <c r="A26" s="4" t="s">
        <v>28</v>
      </c>
      <c r="B26" s="5" t="s">
        <v>61</v>
      </c>
      <c r="C26" s="5" t="s">
        <v>42</v>
      </c>
      <c r="D26" s="5" t="s">
        <v>35</v>
      </c>
      <c r="E26" s="6">
        <v>925.31</v>
      </c>
      <c r="F26" s="6">
        <v>8</v>
      </c>
      <c r="G26" s="6">
        <v>0.1</v>
      </c>
      <c r="H26" s="7">
        <v>45418</v>
      </c>
      <c r="I26" s="8">
        <v>374.75</v>
      </c>
      <c r="J26" s="6" t="str">
        <f t="shared" si="0"/>
        <v>May</v>
      </c>
      <c r="K26" s="10" t="s">
        <v>53</v>
      </c>
      <c r="L26" s="11">
        <v>7881.9</v>
      </c>
      <c r="N26">
        <f t="shared" si="1"/>
        <v>4238.22</v>
      </c>
      <c r="R26" s="35" t="s">
        <v>118</v>
      </c>
      <c r="S26" s="36"/>
      <c r="T26" s="36"/>
      <c r="U26" s="36"/>
      <c r="V26" s="36"/>
      <c r="W26" s="37"/>
      <c r="X26" s="29"/>
      <c r="Y26" s="29"/>
    </row>
    <row r="27" spans="1:25" ht="15" customHeight="1" thickBot="1">
      <c r="A27" s="4" t="s">
        <v>68</v>
      </c>
      <c r="B27" s="5" t="s">
        <v>76</v>
      </c>
      <c r="C27" s="5" t="s">
        <v>44</v>
      </c>
      <c r="D27" s="5" t="s">
        <v>33</v>
      </c>
      <c r="E27" s="6">
        <v>1173.1199999999999</v>
      </c>
      <c r="F27" s="6">
        <v>18</v>
      </c>
      <c r="G27" s="6">
        <v>0</v>
      </c>
      <c r="H27" s="7">
        <v>45418</v>
      </c>
      <c r="I27" s="8">
        <v>293.27999999999997</v>
      </c>
      <c r="J27" s="6" t="str">
        <f t="shared" si="0"/>
        <v>May</v>
      </c>
      <c r="K27" s="10" t="s">
        <v>29</v>
      </c>
      <c r="L27" s="11">
        <v>8331.8499999999985</v>
      </c>
      <c r="N27">
        <f t="shared" si="1"/>
        <v>6662.232</v>
      </c>
      <c r="R27" s="35" t="s">
        <v>119</v>
      </c>
      <c r="S27" s="36"/>
      <c r="T27" s="36"/>
      <c r="U27" s="36"/>
      <c r="V27" s="36"/>
      <c r="W27" s="37"/>
      <c r="X27" s="29"/>
      <c r="Y27" s="29"/>
    </row>
    <row r="28" spans="1:25" ht="15" thickBot="1">
      <c r="A28" s="4" t="s">
        <v>48</v>
      </c>
      <c r="B28" s="5" t="s">
        <v>73</v>
      </c>
      <c r="C28" s="5" t="s">
        <v>49</v>
      </c>
      <c r="D28" s="5" t="s">
        <v>34</v>
      </c>
      <c r="E28" s="6">
        <v>675.54</v>
      </c>
      <c r="F28" s="6">
        <v>17</v>
      </c>
      <c r="G28" s="6">
        <v>0</v>
      </c>
      <c r="H28" s="7">
        <v>45420</v>
      </c>
      <c r="I28" s="8">
        <v>236.44</v>
      </c>
      <c r="J28" s="6" t="str">
        <f t="shared" si="0"/>
        <v>May</v>
      </c>
      <c r="K28" s="10" t="s">
        <v>79</v>
      </c>
      <c r="L28" s="11">
        <v>7296.1900000000005</v>
      </c>
      <c r="N28">
        <f t="shared" si="1"/>
        <v>21116.159999999996</v>
      </c>
      <c r="R28" s="28"/>
      <c r="S28" s="28"/>
      <c r="T28" s="29"/>
      <c r="U28" s="29"/>
      <c r="V28" s="29"/>
      <c r="W28" s="29"/>
      <c r="X28" s="29"/>
      <c r="Y28" s="29"/>
    </row>
    <row r="29" spans="1:25" ht="15" thickBot="1">
      <c r="A29" s="4" t="s">
        <v>52</v>
      </c>
      <c r="B29" s="5" t="s">
        <v>29</v>
      </c>
      <c r="C29" s="5" t="s">
        <v>42</v>
      </c>
      <c r="D29" s="5" t="s">
        <v>22</v>
      </c>
      <c r="E29" s="6">
        <v>939.09</v>
      </c>
      <c r="F29" s="6">
        <v>2</v>
      </c>
      <c r="G29" s="6">
        <v>0.05</v>
      </c>
      <c r="H29" s="7">
        <v>45422</v>
      </c>
      <c r="I29" s="8">
        <v>356.85</v>
      </c>
      <c r="J29" s="6" t="str">
        <f t="shared" si="0"/>
        <v>May</v>
      </c>
      <c r="K29" s="10" t="s">
        <v>89</v>
      </c>
      <c r="L29" s="11">
        <v>5771.59</v>
      </c>
      <c r="N29">
        <f t="shared" si="1"/>
        <v>11484.18</v>
      </c>
      <c r="R29" s="30" t="s">
        <v>120</v>
      </c>
      <c r="S29" s="26">
        <f>W21/Y21</f>
        <v>0.48454027292079488</v>
      </c>
      <c r="T29" s="29"/>
      <c r="U29" s="29"/>
      <c r="V29" s="29"/>
      <c r="W29" s="29"/>
      <c r="X29" s="29"/>
      <c r="Y29" s="29"/>
    </row>
    <row r="30" spans="1:25" ht="15" thickBot="1">
      <c r="A30" s="4" t="s">
        <v>90</v>
      </c>
      <c r="B30" s="5" t="s">
        <v>83</v>
      </c>
      <c r="C30" s="5" t="s">
        <v>39</v>
      </c>
      <c r="D30" s="5" t="s">
        <v>35</v>
      </c>
      <c r="E30" s="6">
        <v>983.34</v>
      </c>
      <c r="F30" s="6">
        <v>19</v>
      </c>
      <c r="G30" s="6">
        <v>0.1</v>
      </c>
      <c r="H30" s="7">
        <v>45426</v>
      </c>
      <c r="I30" s="8">
        <v>398.25</v>
      </c>
      <c r="J30" s="6" t="str">
        <f t="shared" si="0"/>
        <v>May</v>
      </c>
      <c r="K30" s="10" t="s">
        <v>36</v>
      </c>
      <c r="L30" s="11">
        <v>195217.75999999998</v>
      </c>
      <c r="N30">
        <f t="shared" si="1"/>
        <v>1784.271</v>
      </c>
      <c r="R30" s="30" t="s">
        <v>121</v>
      </c>
      <c r="S30" s="26">
        <f>S21*(S29*R21)</f>
        <v>161483.1865223131</v>
      </c>
      <c r="T30" s="29"/>
      <c r="U30" s="29"/>
      <c r="V30" s="29"/>
      <c r="W30" s="29"/>
      <c r="X30" s="29"/>
      <c r="Y30" s="29"/>
    </row>
    <row r="31" spans="1:25" ht="15" thickBot="1">
      <c r="A31" s="4" t="s">
        <v>90</v>
      </c>
      <c r="B31" s="5" t="s">
        <v>47</v>
      </c>
      <c r="C31" s="5" t="s">
        <v>44</v>
      </c>
      <c r="D31" s="5" t="s">
        <v>33</v>
      </c>
      <c r="E31" s="6">
        <v>801.21</v>
      </c>
      <c r="F31" s="6">
        <v>3</v>
      </c>
      <c r="G31" s="6">
        <v>0.2</v>
      </c>
      <c r="H31" s="7">
        <v>45426</v>
      </c>
      <c r="I31" s="8">
        <v>160.24</v>
      </c>
      <c r="J31" s="6" t="str">
        <f t="shared" si="0"/>
        <v>May</v>
      </c>
      <c r="N31">
        <f t="shared" si="1"/>
        <v>16815.113999999998</v>
      </c>
    </row>
    <row r="32" spans="1:25" ht="15" thickBot="1">
      <c r="A32" s="4" t="s">
        <v>91</v>
      </c>
      <c r="B32" s="5" t="s">
        <v>40</v>
      </c>
      <c r="C32" s="5" t="s">
        <v>49</v>
      </c>
      <c r="D32" s="5" t="s">
        <v>33</v>
      </c>
      <c r="E32" s="6">
        <v>1450.71</v>
      </c>
      <c r="F32" s="6">
        <v>5</v>
      </c>
      <c r="G32" s="6">
        <v>0.1</v>
      </c>
      <c r="H32" s="7">
        <v>45427</v>
      </c>
      <c r="I32" s="8">
        <v>326.41000000000003</v>
      </c>
      <c r="J32" s="6" t="str">
        <f t="shared" si="0"/>
        <v>May</v>
      </c>
      <c r="N32">
        <f t="shared" si="1"/>
        <v>1922.904</v>
      </c>
    </row>
    <row r="33" spans="1:25" ht="15" thickBot="1">
      <c r="A33" s="4" t="s">
        <v>87</v>
      </c>
      <c r="B33" s="5" t="s">
        <v>45</v>
      </c>
      <c r="C33" s="5" t="s">
        <v>42</v>
      </c>
      <c r="D33" s="5" t="s">
        <v>22</v>
      </c>
      <c r="E33" s="6">
        <v>1023.21</v>
      </c>
      <c r="F33" s="6">
        <v>18</v>
      </c>
      <c r="G33" s="6">
        <v>0.05</v>
      </c>
      <c r="H33" s="7">
        <v>45428</v>
      </c>
      <c r="I33" s="8">
        <v>388.82</v>
      </c>
      <c r="J33" s="6" t="str">
        <f t="shared" si="0"/>
        <v>May</v>
      </c>
      <c r="N33">
        <f t="shared" si="1"/>
        <v>6528.1949999999997</v>
      </c>
    </row>
    <row r="34" spans="1:25" ht="15" thickBot="1">
      <c r="A34" s="4" t="s">
        <v>56</v>
      </c>
      <c r="B34" s="5" t="s">
        <v>85</v>
      </c>
      <c r="C34" s="5" t="s">
        <v>21</v>
      </c>
      <c r="D34" s="5" t="s">
        <v>34</v>
      </c>
      <c r="E34" s="6">
        <v>853.72</v>
      </c>
      <c r="F34" s="6">
        <v>5</v>
      </c>
      <c r="G34" s="6">
        <v>0.15</v>
      </c>
      <c r="H34" s="7">
        <v>45428</v>
      </c>
      <c r="I34" s="8">
        <v>253.98</v>
      </c>
      <c r="J34" s="6" t="str">
        <f t="shared" si="0"/>
        <v>May</v>
      </c>
      <c r="N34">
        <f t="shared" si="1"/>
        <v>17496.891</v>
      </c>
    </row>
    <row r="35" spans="1:25" ht="15" thickBot="1">
      <c r="A35" s="4" t="s">
        <v>92</v>
      </c>
      <c r="B35" s="5" t="s">
        <v>79</v>
      </c>
      <c r="C35" s="5" t="s">
        <v>44</v>
      </c>
      <c r="D35" s="5" t="s">
        <v>33</v>
      </c>
      <c r="E35" s="6">
        <v>967.89</v>
      </c>
      <c r="F35" s="6">
        <v>10</v>
      </c>
      <c r="G35" s="6">
        <v>0.1</v>
      </c>
      <c r="H35" s="7">
        <v>45429</v>
      </c>
      <c r="I35" s="8">
        <v>217.78</v>
      </c>
      <c r="J35" s="6" t="str">
        <f t="shared" si="0"/>
        <v>May</v>
      </c>
      <c r="N35">
        <f t="shared" si="1"/>
        <v>3628.3100000000004</v>
      </c>
    </row>
    <row r="36" spans="1:25" ht="15" thickBot="1">
      <c r="A36" s="4" t="s">
        <v>93</v>
      </c>
      <c r="B36" s="5" t="s">
        <v>83</v>
      </c>
      <c r="C36" s="5" t="s">
        <v>49</v>
      </c>
      <c r="D36" s="5" t="s">
        <v>35</v>
      </c>
      <c r="E36" s="6">
        <v>1200.9000000000001</v>
      </c>
      <c r="F36" s="6">
        <v>14</v>
      </c>
      <c r="G36" s="6">
        <v>0.05</v>
      </c>
      <c r="H36" s="7">
        <v>45429</v>
      </c>
      <c r="I36" s="8">
        <v>513.38</v>
      </c>
      <c r="J36" s="6" t="str">
        <f t="shared" si="0"/>
        <v>May</v>
      </c>
      <c r="N36">
        <f t="shared" si="1"/>
        <v>8711.01</v>
      </c>
    </row>
    <row r="37" spans="1:25" ht="15" thickBot="1">
      <c r="A37" s="4" t="s">
        <v>28</v>
      </c>
      <c r="B37" s="5" t="s">
        <v>53</v>
      </c>
      <c r="C37" s="5" t="s">
        <v>21</v>
      </c>
      <c r="D37" s="5" t="s">
        <v>22</v>
      </c>
      <c r="E37" s="6">
        <v>472.38</v>
      </c>
      <c r="F37" s="6">
        <v>12</v>
      </c>
      <c r="G37" s="6">
        <v>0.2</v>
      </c>
      <c r="H37" s="7">
        <v>45429</v>
      </c>
      <c r="I37" s="8">
        <v>151.16</v>
      </c>
      <c r="J37" s="6" t="str">
        <f t="shared" si="0"/>
        <v>May</v>
      </c>
      <c r="N37">
        <f t="shared" si="1"/>
        <v>15971.970000000001</v>
      </c>
    </row>
    <row r="38" spans="1:25" ht="15" thickBot="1">
      <c r="A38" s="4" t="s">
        <v>19</v>
      </c>
      <c r="B38" s="5" t="s">
        <v>40</v>
      </c>
      <c r="C38" s="5" t="s">
        <v>39</v>
      </c>
      <c r="D38" s="5" t="s">
        <v>35</v>
      </c>
      <c r="E38" s="6">
        <v>840.92</v>
      </c>
      <c r="F38" s="6">
        <v>9</v>
      </c>
      <c r="G38" s="6">
        <v>0.05</v>
      </c>
      <c r="H38" s="7">
        <v>45429</v>
      </c>
      <c r="I38" s="8">
        <v>359.49</v>
      </c>
      <c r="J38" s="6" t="str">
        <f t="shared" si="0"/>
        <v>May</v>
      </c>
      <c r="N38">
        <f t="shared" si="1"/>
        <v>4534.848</v>
      </c>
    </row>
    <row r="39" spans="1:25" ht="15" thickBot="1">
      <c r="A39" s="4" t="s">
        <v>90</v>
      </c>
      <c r="B39" s="5" t="s">
        <v>86</v>
      </c>
      <c r="C39" s="5" t="s">
        <v>42</v>
      </c>
      <c r="D39" s="5" t="s">
        <v>34</v>
      </c>
      <c r="E39" s="6">
        <v>1410.06</v>
      </c>
      <c r="F39" s="6">
        <v>11</v>
      </c>
      <c r="G39" s="6">
        <v>0.05</v>
      </c>
      <c r="H39" s="7">
        <v>45434</v>
      </c>
      <c r="I39" s="8">
        <v>468.84</v>
      </c>
      <c r="J39" s="6" t="str">
        <f t="shared" si="0"/>
        <v>May</v>
      </c>
      <c r="N39">
        <f t="shared" si="1"/>
        <v>7189.866</v>
      </c>
      <c r="X39" s="18"/>
      <c r="Y39" s="11"/>
    </row>
    <row r="40" spans="1:25" ht="15" thickBot="1">
      <c r="A40" s="4" t="s">
        <v>80</v>
      </c>
      <c r="B40" s="5" t="s">
        <v>88</v>
      </c>
      <c r="C40" s="5" t="s">
        <v>42</v>
      </c>
      <c r="D40" s="5" t="s">
        <v>34</v>
      </c>
      <c r="E40" s="6">
        <v>773.09</v>
      </c>
      <c r="F40" s="6">
        <v>13</v>
      </c>
      <c r="G40" s="6">
        <v>0.15</v>
      </c>
      <c r="H40" s="7">
        <v>45434</v>
      </c>
      <c r="I40" s="8">
        <v>229.99</v>
      </c>
      <c r="J40" s="6" t="str">
        <f t="shared" si="0"/>
        <v>May</v>
      </c>
      <c r="N40">
        <f t="shared" si="1"/>
        <v>14735.127</v>
      </c>
      <c r="X40" s="18"/>
      <c r="Y40" s="11"/>
    </row>
    <row r="41" spans="1:25" ht="15" thickBot="1">
      <c r="A41" s="4" t="s">
        <v>94</v>
      </c>
      <c r="B41" s="5" t="s">
        <v>66</v>
      </c>
      <c r="C41" s="5" t="s">
        <v>39</v>
      </c>
      <c r="D41" s="5" t="s">
        <v>22</v>
      </c>
      <c r="E41" s="6">
        <v>580.42999999999995</v>
      </c>
      <c r="F41" s="6">
        <v>19</v>
      </c>
      <c r="G41" s="6">
        <v>0.15</v>
      </c>
      <c r="H41" s="7">
        <v>45435</v>
      </c>
      <c r="I41" s="8">
        <v>197.35</v>
      </c>
      <c r="J41" s="6" t="str">
        <f t="shared" si="0"/>
        <v>May</v>
      </c>
      <c r="N41">
        <f t="shared" si="1"/>
        <v>8542.6445000000003</v>
      </c>
      <c r="X41" s="18"/>
      <c r="Y41" s="11"/>
    </row>
    <row r="42" spans="1:25" ht="15" thickBot="1">
      <c r="A42" s="4" t="s">
        <v>43</v>
      </c>
      <c r="B42" s="5" t="s">
        <v>50</v>
      </c>
      <c r="C42" s="5" t="s">
        <v>44</v>
      </c>
      <c r="D42" s="5" t="s">
        <v>22</v>
      </c>
      <c r="E42" s="6">
        <v>1151.21</v>
      </c>
      <c r="F42" s="6">
        <v>15</v>
      </c>
      <c r="G42" s="6">
        <v>0.1</v>
      </c>
      <c r="H42" s="7">
        <v>45445</v>
      </c>
      <c r="I42" s="8">
        <v>414.44</v>
      </c>
      <c r="J42" s="6" t="str">
        <f t="shared" si="0"/>
        <v>June</v>
      </c>
      <c r="N42">
        <f t="shared" si="1"/>
        <v>9373.9444999999978</v>
      </c>
      <c r="X42" s="18"/>
      <c r="Y42" s="11"/>
    </row>
    <row r="43" spans="1:25" ht="15" thickBot="1">
      <c r="A43" s="4" t="s">
        <v>90</v>
      </c>
      <c r="B43" s="5" t="s">
        <v>47</v>
      </c>
      <c r="C43" s="5" t="s">
        <v>42</v>
      </c>
      <c r="D43" s="5" t="s">
        <v>35</v>
      </c>
      <c r="E43" s="6">
        <v>1025.98</v>
      </c>
      <c r="F43" s="6">
        <v>5</v>
      </c>
      <c r="G43" s="6">
        <v>0.2</v>
      </c>
      <c r="H43" s="7">
        <v>45447</v>
      </c>
      <c r="I43" s="8">
        <v>369.35</v>
      </c>
      <c r="J43" s="6" t="str">
        <f t="shared" si="0"/>
        <v>June</v>
      </c>
      <c r="N43">
        <f t="shared" si="1"/>
        <v>15541.335000000001</v>
      </c>
      <c r="X43" s="18"/>
      <c r="Y43" s="11"/>
    </row>
    <row r="44" spans="1:25" ht="15" thickBot="1">
      <c r="A44" s="4" t="s">
        <v>75</v>
      </c>
      <c r="B44" s="5" t="s">
        <v>45</v>
      </c>
      <c r="C44" s="5" t="s">
        <v>39</v>
      </c>
      <c r="D44" s="5" t="s">
        <v>35</v>
      </c>
      <c r="E44" s="6">
        <v>556.41999999999996</v>
      </c>
      <c r="F44" s="6">
        <v>11</v>
      </c>
      <c r="G44" s="6">
        <v>0.15</v>
      </c>
      <c r="H44" s="7">
        <v>45447</v>
      </c>
      <c r="I44" s="8">
        <v>212.83</v>
      </c>
      <c r="J44" s="6" t="str">
        <f t="shared" si="0"/>
        <v>June</v>
      </c>
      <c r="N44">
        <f t="shared" si="1"/>
        <v>4103.92</v>
      </c>
      <c r="X44" s="18"/>
      <c r="Y44" s="11"/>
    </row>
    <row r="45" spans="1:25" ht="15" thickBot="1">
      <c r="A45" s="4" t="s">
        <v>92</v>
      </c>
      <c r="B45" s="5" t="s">
        <v>47</v>
      </c>
      <c r="C45" s="5" t="s">
        <v>42</v>
      </c>
      <c r="D45" s="5" t="s">
        <v>22</v>
      </c>
      <c r="E45" s="6">
        <v>840.85</v>
      </c>
      <c r="F45" s="6">
        <v>19</v>
      </c>
      <c r="G45" s="6">
        <v>0.1</v>
      </c>
      <c r="H45" s="7">
        <v>45448</v>
      </c>
      <c r="I45" s="8">
        <v>302.70999999999998</v>
      </c>
      <c r="J45" s="6" t="str">
        <f t="shared" si="0"/>
        <v>June</v>
      </c>
      <c r="N45">
        <f t="shared" si="1"/>
        <v>5202.527</v>
      </c>
      <c r="X45" s="18"/>
      <c r="Y45" s="11"/>
    </row>
    <row r="46" spans="1:25" ht="15" thickBot="1">
      <c r="A46" s="4" t="s">
        <v>60</v>
      </c>
      <c r="B46" s="5" t="s">
        <v>66</v>
      </c>
      <c r="C46" s="5" t="s">
        <v>49</v>
      </c>
      <c r="D46" s="5" t="s">
        <v>34</v>
      </c>
      <c r="E46" s="6">
        <v>1227.25</v>
      </c>
      <c r="F46" s="6">
        <v>12</v>
      </c>
      <c r="G46" s="6">
        <v>0.15</v>
      </c>
      <c r="H46" s="7">
        <v>45448</v>
      </c>
      <c r="I46" s="8">
        <v>365.11</v>
      </c>
      <c r="J46" s="6" t="str">
        <f t="shared" si="0"/>
        <v>June</v>
      </c>
      <c r="N46">
        <f t="shared" si="1"/>
        <v>14378.535</v>
      </c>
      <c r="X46" s="18"/>
      <c r="Y46" s="11"/>
    </row>
    <row r="47" spans="1:25" ht="15" thickBot="1">
      <c r="A47" s="4" t="s">
        <v>37</v>
      </c>
      <c r="B47" s="5" t="s">
        <v>78</v>
      </c>
      <c r="C47" s="5" t="s">
        <v>42</v>
      </c>
      <c r="D47" s="5" t="s">
        <v>33</v>
      </c>
      <c r="E47" s="6">
        <v>856.7</v>
      </c>
      <c r="F47" s="6">
        <v>2</v>
      </c>
      <c r="G47" s="6">
        <v>0</v>
      </c>
      <c r="H47" s="7">
        <v>45449</v>
      </c>
      <c r="I47" s="8">
        <v>214.18</v>
      </c>
      <c r="J47" s="6" t="str">
        <f t="shared" si="0"/>
        <v>June</v>
      </c>
      <c r="N47">
        <f t="shared" si="1"/>
        <v>12517.95</v>
      </c>
      <c r="X47" s="18"/>
      <c r="Y47" s="11"/>
    </row>
    <row r="48" spans="1:25" ht="15" thickBot="1">
      <c r="A48" s="4" t="s">
        <v>91</v>
      </c>
      <c r="B48" s="5" t="s">
        <v>45</v>
      </c>
      <c r="C48" s="5" t="s">
        <v>42</v>
      </c>
      <c r="D48" s="5" t="s">
        <v>35</v>
      </c>
      <c r="E48" s="6">
        <v>1225.42</v>
      </c>
      <c r="F48" s="6">
        <v>8</v>
      </c>
      <c r="G48" s="6">
        <v>0.15</v>
      </c>
      <c r="H48" s="7">
        <v>45449</v>
      </c>
      <c r="I48" s="8">
        <v>468.72</v>
      </c>
      <c r="J48" s="6" t="str">
        <f t="shared" si="0"/>
        <v>June</v>
      </c>
      <c r="N48">
        <f t="shared" si="1"/>
        <v>1713.4</v>
      </c>
      <c r="X48" s="18"/>
      <c r="Y48" s="11"/>
    </row>
    <row r="49" spans="1:25" ht="15" thickBot="1">
      <c r="A49" s="4" t="s">
        <v>95</v>
      </c>
      <c r="B49" s="5" t="s">
        <v>61</v>
      </c>
      <c r="C49" s="5" t="s">
        <v>49</v>
      </c>
      <c r="D49" s="5" t="s">
        <v>35</v>
      </c>
      <c r="E49" s="6">
        <v>1001.57</v>
      </c>
      <c r="F49" s="6">
        <v>12</v>
      </c>
      <c r="G49" s="6">
        <v>0</v>
      </c>
      <c r="H49" s="7">
        <v>45450</v>
      </c>
      <c r="I49" s="8">
        <v>450.71</v>
      </c>
      <c r="J49" s="6" t="str">
        <f t="shared" si="0"/>
        <v>June</v>
      </c>
      <c r="N49">
        <f t="shared" si="1"/>
        <v>8332.8559999999998</v>
      </c>
      <c r="X49" s="18"/>
      <c r="Y49" s="11"/>
    </row>
    <row r="50" spans="1:25" ht="15" thickBot="1">
      <c r="A50" s="4" t="s">
        <v>92</v>
      </c>
      <c r="B50" s="5" t="s">
        <v>53</v>
      </c>
      <c r="C50" s="5" t="s">
        <v>39</v>
      </c>
      <c r="D50" s="5" t="s">
        <v>34</v>
      </c>
      <c r="E50" s="6">
        <v>1186.8499999999999</v>
      </c>
      <c r="F50" s="6">
        <v>19</v>
      </c>
      <c r="G50" s="6">
        <v>0.2</v>
      </c>
      <c r="H50" s="7">
        <v>45451</v>
      </c>
      <c r="I50" s="8">
        <v>332.32</v>
      </c>
      <c r="J50" s="6" t="str">
        <f t="shared" si="0"/>
        <v>June</v>
      </c>
      <c r="N50">
        <f t="shared" si="1"/>
        <v>12018.84</v>
      </c>
      <c r="X50" s="18"/>
      <c r="Y50" s="11"/>
    </row>
    <row r="51" spans="1:25" ht="15" thickBot="1">
      <c r="A51" s="4" t="s">
        <v>80</v>
      </c>
      <c r="B51" s="5" t="s">
        <v>73</v>
      </c>
      <c r="C51" s="5" t="s">
        <v>44</v>
      </c>
      <c r="D51" s="5" t="s">
        <v>33</v>
      </c>
      <c r="E51" s="6">
        <v>775.45</v>
      </c>
      <c r="F51" s="6">
        <v>6</v>
      </c>
      <c r="G51" s="6">
        <v>0.1</v>
      </c>
      <c r="H51" s="7">
        <v>45457</v>
      </c>
      <c r="I51" s="8">
        <v>174.48</v>
      </c>
      <c r="J51" s="6" t="str">
        <f t="shared" si="0"/>
        <v>June</v>
      </c>
      <c r="N51">
        <f t="shared" si="1"/>
        <v>18040.12</v>
      </c>
      <c r="X51" s="18"/>
      <c r="Y51" s="11"/>
    </row>
    <row r="52" spans="1:25" ht="15" thickBot="1">
      <c r="A52" s="4" t="s">
        <v>52</v>
      </c>
      <c r="B52" s="5" t="s">
        <v>65</v>
      </c>
      <c r="C52" s="5" t="s">
        <v>44</v>
      </c>
      <c r="D52" s="5" t="s">
        <v>33</v>
      </c>
      <c r="E52" s="6">
        <v>1021.47</v>
      </c>
      <c r="F52" s="6">
        <v>6</v>
      </c>
      <c r="G52" s="6">
        <v>0.05</v>
      </c>
      <c r="H52" s="7">
        <v>45461</v>
      </c>
      <c r="I52" s="8">
        <v>242.6</v>
      </c>
      <c r="J52" s="6" t="str">
        <f t="shared" si="0"/>
        <v>June</v>
      </c>
      <c r="N52">
        <f t="shared" si="1"/>
        <v>4187.43</v>
      </c>
      <c r="X52" s="18"/>
      <c r="Y52" s="11"/>
    </row>
    <row r="53" spans="1:25" ht="15" thickBot="1">
      <c r="A53" s="4" t="s">
        <v>93</v>
      </c>
      <c r="B53" s="5" t="s">
        <v>47</v>
      </c>
      <c r="C53" s="5" t="s">
        <v>44</v>
      </c>
      <c r="D53" s="5" t="s">
        <v>30</v>
      </c>
      <c r="E53" s="6">
        <v>1226.6199999999999</v>
      </c>
      <c r="F53" s="6">
        <v>7</v>
      </c>
      <c r="G53" s="6">
        <v>0.1</v>
      </c>
      <c r="H53" s="7">
        <v>45463</v>
      </c>
      <c r="I53" s="8">
        <v>551.98</v>
      </c>
      <c r="J53" s="6" t="str">
        <f t="shared" si="0"/>
        <v>June</v>
      </c>
      <c r="N53">
        <f t="shared" si="1"/>
        <v>5822.3789999999999</v>
      </c>
      <c r="X53" s="18"/>
      <c r="Y53" s="11"/>
    </row>
    <row r="54" spans="1:25" ht="15" thickBot="1">
      <c r="A54" s="4" t="s">
        <v>48</v>
      </c>
      <c r="B54" s="5" t="s">
        <v>89</v>
      </c>
      <c r="C54" s="5" t="s">
        <v>44</v>
      </c>
      <c r="D54" s="5" t="s">
        <v>34</v>
      </c>
      <c r="E54" s="6">
        <v>1086.93</v>
      </c>
      <c r="F54" s="6">
        <v>2</v>
      </c>
      <c r="G54" s="6">
        <v>0</v>
      </c>
      <c r="H54" s="7">
        <v>45464</v>
      </c>
      <c r="I54" s="8">
        <v>380.43</v>
      </c>
      <c r="J54" s="6" t="str">
        <f t="shared" si="0"/>
        <v>June</v>
      </c>
      <c r="N54">
        <f t="shared" si="1"/>
        <v>7727.7060000000001</v>
      </c>
      <c r="X54" s="18"/>
      <c r="Y54" s="11"/>
    </row>
    <row r="55" spans="1:25" ht="15" thickBot="1">
      <c r="A55" s="4" t="s">
        <v>96</v>
      </c>
      <c r="B55" s="5" t="s">
        <v>86</v>
      </c>
      <c r="C55" s="5" t="s">
        <v>21</v>
      </c>
      <c r="D55" s="5" t="s">
        <v>22</v>
      </c>
      <c r="E55" s="6">
        <v>942.9</v>
      </c>
      <c r="F55" s="6">
        <v>18</v>
      </c>
      <c r="G55" s="6">
        <v>0.1</v>
      </c>
      <c r="H55" s="7">
        <v>45466</v>
      </c>
      <c r="I55" s="8">
        <v>339.44</v>
      </c>
      <c r="J55" s="6" t="str">
        <f t="shared" si="0"/>
        <v>June</v>
      </c>
      <c r="N55">
        <f t="shared" si="1"/>
        <v>2173.86</v>
      </c>
      <c r="X55" s="18"/>
      <c r="Y55" s="11"/>
    </row>
    <row r="56" spans="1:25" ht="15" thickBot="1">
      <c r="A56" s="4" t="s">
        <v>64</v>
      </c>
      <c r="B56" s="5" t="s">
        <v>58</v>
      </c>
      <c r="C56" s="5" t="s">
        <v>49</v>
      </c>
      <c r="D56" s="5" t="s">
        <v>33</v>
      </c>
      <c r="E56" s="6">
        <v>818.8</v>
      </c>
      <c r="F56" s="6">
        <v>15</v>
      </c>
      <c r="G56" s="6">
        <v>0.15</v>
      </c>
      <c r="H56" s="7">
        <v>45468</v>
      </c>
      <c r="I56" s="8">
        <v>173.99</v>
      </c>
      <c r="J56" s="6" t="str">
        <f t="shared" si="0"/>
        <v>June</v>
      </c>
      <c r="N56">
        <f t="shared" si="1"/>
        <v>15274.98</v>
      </c>
      <c r="X56" s="18"/>
      <c r="Y56" s="11"/>
    </row>
    <row r="57" spans="1:25" ht="15" thickBot="1">
      <c r="A57" s="4" t="s">
        <v>43</v>
      </c>
      <c r="B57" s="5" t="s">
        <v>29</v>
      </c>
      <c r="C57" s="5" t="s">
        <v>44</v>
      </c>
      <c r="D57" s="5" t="s">
        <v>34</v>
      </c>
      <c r="E57" s="6">
        <v>919.04</v>
      </c>
      <c r="F57" s="6">
        <v>10</v>
      </c>
      <c r="G57" s="6">
        <v>0.2</v>
      </c>
      <c r="H57" s="7">
        <v>45468</v>
      </c>
      <c r="I57" s="8">
        <v>257.33</v>
      </c>
      <c r="J57" s="6" t="str">
        <f t="shared" si="0"/>
        <v>June</v>
      </c>
      <c r="N57">
        <f t="shared" si="1"/>
        <v>10439.700000000001</v>
      </c>
      <c r="X57" s="18"/>
      <c r="Y57" s="11"/>
    </row>
    <row r="58" spans="1:25" ht="15" thickBot="1">
      <c r="A58" s="4" t="s">
        <v>48</v>
      </c>
      <c r="B58" s="5" t="s">
        <v>62</v>
      </c>
      <c r="C58" s="5" t="s">
        <v>42</v>
      </c>
      <c r="D58" s="5" t="s">
        <v>22</v>
      </c>
      <c r="E58" s="6">
        <v>973.26</v>
      </c>
      <c r="F58" s="6">
        <v>11</v>
      </c>
      <c r="G58" s="6">
        <v>0</v>
      </c>
      <c r="H58" s="7">
        <v>45470</v>
      </c>
      <c r="I58" s="8">
        <v>389.3</v>
      </c>
      <c r="J58" s="6" t="str">
        <f t="shared" si="0"/>
        <v>June</v>
      </c>
      <c r="N58">
        <f t="shared" si="1"/>
        <v>7352.32</v>
      </c>
      <c r="X58" s="18"/>
      <c r="Y58" s="11"/>
    </row>
    <row r="59" spans="1:25" ht="15" thickBot="1">
      <c r="A59" s="4" t="s">
        <v>77</v>
      </c>
      <c r="B59" s="5" t="s">
        <v>89</v>
      </c>
      <c r="C59" s="5" t="s">
        <v>49</v>
      </c>
      <c r="D59" s="5" t="s">
        <v>33</v>
      </c>
      <c r="E59" s="6">
        <v>741.61</v>
      </c>
      <c r="F59" s="6">
        <v>1</v>
      </c>
      <c r="G59" s="6">
        <v>0.2</v>
      </c>
      <c r="H59" s="7">
        <v>45471</v>
      </c>
      <c r="I59" s="8">
        <v>148.32</v>
      </c>
      <c r="J59" s="6" t="str">
        <f t="shared" si="0"/>
        <v>June</v>
      </c>
      <c r="N59">
        <f t="shared" si="1"/>
        <v>10705.86</v>
      </c>
      <c r="X59" s="18"/>
      <c r="Y59" s="11"/>
    </row>
    <row r="60" spans="1:25" ht="15" thickBot="1">
      <c r="A60" s="4" t="s">
        <v>97</v>
      </c>
      <c r="B60" s="5" t="s">
        <v>58</v>
      </c>
      <c r="C60" s="5" t="s">
        <v>49</v>
      </c>
      <c r="D60" s="5" t="s">
        <v>22</v>
      </c>
      <c r="E60" s="6">
        <v>1248.82</v>
      </c>
      <c r="F60" s="6">
        <v>2</v>
      </c>
      <c r="G60" s="6">
        <v>0.1</v>
      </c>
      <c r="H60" s="7">
        <v>45473</v>
      </c>
      <c r="I60" s="8">
        <v>449.58</v>
      </c>
      <c r="J60" s="6" t="str">
        <f t="shared" si="0"/>
        <v>June</v>
      </c>
      <c r="N60">
        <f t="shared" si="1"/>
        <v>593.28800000000001</v>
      </c>
      <c r="X60" s="18"/>
      <c r="Y60" s="11"/>
    </row>
    <row r="61" spans="1:25" ht="15" thickBot="1">
      <c r="A61" s="4" t="s">
        <v>28</v>
      </c>
      <c r="B61" s="5" t="s">
        <v>88</v>
      </c>
      <c r="C61" s="5" t="s">
        <v>21</v>
      </c>
      <c r="D61" s="5" t="s">
        <v>30</v>
      </c>
      <c r="E61" s="6">
        <v>1360.36</v>
      </c>
      <c r="F61" s="6">
        <v>17</v>
      </c>
      <c r="G61" s="6">
        <v>0</v>
      </c>
      <c r="H61" s="7">
        <v>45473</v>
      </c>
      <c r="I61" s="8">
        <v>680.18</v>
      </c>
      <c r="J61" s="6" t="str">
        <f t="shared" si="0"/>
        <v>June</v>
      </c>
      <c r="N61">
        <f t="shared" si="1"/>
        <v>2247.8759999999997</v>
      </c>
      <c r="X61" s="18"/>
      <c r="Y61" s="11"/>
    </row>
    <row r="62" spans="1:25" ht="15" thickBot="1">
      <c r="A62" s="4" t="s">
        <v>92</v>
      </c>
      <c r="B62" s="5" t="s">
        <v>61</v>
      </c>
      <c r="C62" s="5" t="s">
        <v>39</v>
      </c>
      <c r="D62" s="5" t="s">
        <v>22</v>
      </c>
      <c r="E62" s="6">
        <v>1383.3</v>
      </c>
      <c r="F62" s="6">
        <v>8</v>
      </c>
      <c r="G62" s="6">
        <v>0.1</v>
      </c>
      <c r="H62" s="7">
        <v>45478</v>
      </c>
      <c r="I62" s="8">
        <v>497.99</v>
      </c>
      <c r="J62" s="6" t="str">
        <f t="shared" si="0"/>
        <v>July</v>
      </c>
      <c r="N62">
        <f t="shared" si="1"/>
        <v>23126.12</v>
      </c>
      <c r="X62" s="18"/>
      <c r="Y62" s="11"/>
    </row>
    <row r="63" spans="1:25" ht="15" thickBot="1">
      <c r="A63" s="4" t="s">
        <v>68</v>
      </c>
      <c r="B63" s="5" t="s">
        <v>40</v>
      </c>
      <c r="C63" s="5" t="s">
        <v>42</v>
      </c>
      <c r="D63" s="5" t="s">
        <v>35</v>
      </c>
      <c r="E63" s="6">
        <v>488.99</v>
      </c>
      <c r="F63" s="6">
        <v>9</v>
      </c>
      <c r="G63" s="6">
        <v>0</v>
      </c>
      <c r="H63" s="7">
        <v>45479</v>
      </c>
      <c r="I63" s="8">
        <v>220.05</v>
      </c>
      <c r="J63" s="6" t="str">
        <f t="shared" si="0"/>
        <v>July</v>
      </c>
      <c r="N63">
        <f t="shared" si="1"/>
        <v>9959.76</v>
      </c>
      <c r="X63" s="18"/>
      <c r="Y63" s="11"/>
    </row>
    <row r="64" spans="1:25" ht="15" thickBot="1">
      <c r="A64" s="4" t="s">
        <v>60</v>
      </c>
      <c r="B64" s="5" t="s">
        <v>61</v>
      </c>
      <c r="C64" s="5" t="s">
        <v>39</v>
      </c>
      <c r="D64" s="5" t="s">
        <v>34</v>
      </c>
      <c r="E64" s="6">
        <v>933.71</v>
      </c>
      <c r="F64" s="6">
        <v>17</v>
      </c>
      <c r="G64" s="6">
        <v>0.1</v>
      </c>
      <c r="H64" s="7">
        <v>45481</v>
      </c>
      <c r="I64" s="8">
        <v>294.12</v>
      </c>
      <c r="J64" s="6" t="str">
        <f t="shared" si="0"/>
        <v>July</v>
      </c>
      <c r="N64">
        <f t="shared" si="1"/>
        <v>4400.91</v>
      </c>
      <c r="X64" s="18"/>
      <c r="Y64" s="11"/>
    </row>
    <row r="65" spans="1:25" ht="15" thickBot="1">
      <c r="A65" s="4" t="s">
        <v>97</v>
      </c>
      <c r="B65" s="5" t="s">
        <v>20</v>
      </c>
      <c r="C65" s="5" t="s">
        <v>21</v>
      </c>
      <c r="D65" s="5" t="s">
        <v>33</v>
      </c>
      <c r="E65" s="6">
        <v>1005.53</v>
      </c>
      <c r="F65" s="6">
        <v>17</v>
      </c>
      <c r="G65" s="6">
        <v>0.2</v>
      </c>
      <c r="H65" s="7">
        <v>45481</v>
      </c>
      <c r="I65" s="8">
        <v>201.11</v>
      </c>
      <c r="J65" s="6" t="str">
        <f t="shared" si="0"/>
        <v>July</v>
      </c>
      <c r="N65">
        <f t="shared" si="1"/>
        <v>14285.762999999999</v>
      </c>
      <c r="X65" s="18"/>
      <c r="Y65" s="11"/>
    </row>
    <row r="66" spans="1:25" ht="15" thickBot="1">
      <c r="A66" s="4" t="s">
        <v>77</v>
      </c>
      <c r="B66" s="5" t="s">
        <v>66</v>
      </c>
      <c r="C66" s="5" t="s">
        <v>44</v>
      </c>
      <c r="D66" s="5" t="s">
        <v>33</v>
      </c>
      <c r="E66" s="6">
        <v>1100.0999999999999</v>
      </c>
      <c r="F66" s="6">
        <v>5</v>
      </c>
      <c r="G66" s="6">
        <v>0.05</v>
      </c>
      <c r="H66" s="7">
        <v>45482</v>
      </c>
      <c r="I66" s="8">
        <v>261.27</v>
      </c>
      <c r="J66" s="6" t="str">
        <f t="shared" ref="J66:J129" si="3">TEXT(H66,"MMMM")</f>
        <v>July</v>
      </c>
      <c r="N66">
        <f t="shared" si="1"/>
        <v>13675.207999999999</v>
      </c>
      <c r="X66" s="18"/>
      <c r="Y66" s="11"/>
    </row>
    <row r="67" spans="1:25" ht="15" thickBot="1">
      <c r="A67" s="4" t="s">
        <v>97</v>
      </c>
      <c r="B67" s="5" t="s">
        <v>47</v>
      </c>
      <c r="C67" s="5" t="s">
        <v>49</v>
      </c>
      <c r="D67" s="5" t="s">
        <v>34</v>
      </c>
      <c r="E67" s="6">
        <v>1034.7</v>
      </c>
      <c r="F67" s="6">
        <v>15</v>
      </c>
      <c r="G67" s="6">
        <v>0.15</v>
      </c>
      <c r="H67" s="7">
        <v>45487</v>
      </c>
      <c r="I67" s="8">
        <v>307.82</v>
      </c>
      <c r="J67" s="6" t="str">
        <f t="shared" si="3"/>
        <v>July</v>
      </c>
      <c r="N67">
        <f t="shared" si="1"/>
        <v>5225.4750000000004</v>
      </c>
      <c r="X67" s="18"/>
      <c r="Y67" s="11"/>
    </row>
    <row r="68" spans="1:25" ht="15" thickBot="1">
      <c r="A68" s="4" t="s">
        <v>96</v>
      </c>
      <c r="B68" s="5" t="s">
        <v>61</v>
      </c>
      <c r="C68" s="5" t="s">
        <v>44</v>
      </c>
      <c r="D68" s="5" t="s">
        <v>22</v>
      </c>
      <c r="E68" s="6">
        <v>876.44</v>
      </c>
      <c r="F68" s="6">
        <v>12</v>
      </c>
      <c r="G68" s="6">
        <v>0.05</v>
      </c>
      <c r="H68" s="7">
        <v>45488</v>
      </c>
      <c r="I68" s="8">
        <v>333.05</v>
      </c>
      <c r="J68" s="6" t="str">
        <f t="shared" si="3"/>
        <v>July</v>
      </c>
      <c r="N68">
        <f t="shared" si="1"/>
        <v>13192.424999999999</v>
      </c>
      <c r="X68" s="18"/>
      <c r="Y68" s="11"/>
    </row>
    <row r="69" spans="1:25" ht="15" thickBot="1">
      <c r="A69" s="4" t="s">
        <v>98</v>
      </c>
      <c r="B69" s="5" t="s">
        <v>40</v>
      </c>
      <c r="C69" s="5" t="s">
        <v>21</v>
      </c>
      <c r="D69" s="5" t="s">
        <v>34</v>
      </c>
      <c r="E69" s="6">
        <v>1371.34</v>
      </c>
      <c r="F69" s="6">
        <v>5</v>
      </c>
      <c r="G69" s="6">
        <v>0.05</v>
      </c>
      <c r="H69" s="7">
        <v>45488</v>
      </c>
      <c r="I69" s="8">
        <v>455.97</v>
      </c>
      <c r="J69" s="6" t="str">
        <f t="shared" si="3"/>
        <v>July</v>
      </c>
      <c r="N69">
        <f t="shared" si="1"/>
        <v>9991.4160000000011</v>
      </c>
      <c r="X69" s="18"/>
      <c r="Y69" s="11"/>
    </row>
    <row r="70" spans="1:25" ht="15" thickBot="1">
      <c r="A70" s="4" t="s">
        <v>92</v>
      </c>
      <c r="B70" s="5" t="s">
        <v>85</v>
      </c>
      <c r="C70" s="5" t="s">
        <v>49</v>
      </c>
      <c r="D70" s="5" t="s">
        <v>33</v>
      </c>
      <c r="E70" s="6">
        <v>1020.26</v>
      </c>
      <c r="F70" s="6">
        <v>11</v>
      </c>
      <c r="G70" s="6">
        <v>0.05</v>
      </c>
      <c r="H70" s="7">
        <v>45494</v>
      </c>
      <c r="I70" s="8">
        <v>242.31</v>
      </c>
      <c r="J70" s="6" t="str">
        <f t="shared" si="3"/>
        <v>July</v>
      </c>
      <c r="N70">
        <f t="shared" ref="N70:N133" si="4">(E69*F69)-(E69*F69*G69*100%)</f>
        <v>6513.8649999999998</v>
      </c>
      <c r="X70" s="18"/>
      <c r="Y70" s="11"/>
    </row>
    <row r="71" spans="1:25" ht="15" thickBot="1">
      <c r="A71" s="4" t="s">
        <v>80</v>
      </c>
      <c r="B71" s="5" t="s">
        <v>20</v>
      </c>
      <c r="C71" s="5" t="s">
        <v>42</v>
      </c>
      <c r="D71" s="5" t="s">
        <v>35</v>
      </c>
      <c r="E71" s="6">
        <v>804.81</v>
      </c>
      <c r="F71" s="6">
        <v>1</v>
      </c>
      <c r="G71" s="6">
        <v>0.05</v>
      </c>
      <c r="H71" s="7">
        <v>45502</v>
      </c>
      <c r="I71" s="8">
        <v>344.06</v>
      </c>
      <c r="J71" s="6" t="str">
        <f t="shared" si="3"/>
        <v>July</v>
      </c>
      <c r="N71">
        <f t="shared" si="4"/>
        <v>10661.717000000001</v>
      </c>
      <c r="X71" s="18"/>
      <c r="Y71" s="11"/>
    </row>
    <row r="72" spans="1:25" ht="15" thickBot="1">
      <c r="A72" s="4" t="s">
        <v>48</v>
      </c>
      <c r="B72" s="5" t="s">
        <v>40</v>
      </c>
      <c r="C72" s="5" t="s">
        <v>42</v>
      </c>
      <c r="D72" s="5" t="s">
        <v>33</v>
      </c>
      <c r="E72" s="6">
        <v>608.66</v>
      </c>
      <c r="F72" s="6">
        <v>1</v>
      </c>
      <c r="G72" s="6">
        <v>0.05</v>
      </c>
      <c r="H72" s="7">
        <v>45503</v>
      </c>
      <c r="I72" s="8">
        <v>144.56</v>
      </c>
      <c r="J72" s="6" t="str">
        <f t="shared" si="3"/>
        <v>July</v>
      </c>
      <c r="N72">
        <f t="shared" si="4"/>
        <v>764.56949999999995</v>
      </c>
      <c r="X72" s="18"/>
      <c r="Y72" s="11"/>
    </row>
    <row r="73" spans="1:25" ht="15" thickBot="1">
      <c r="A73" s="4" t="s">
        <v>98</v>
      </c>
      <c r="B73" s="5" t="s">
        <v>81</v>
      </c>
      <c r="C73" s="5" t="s">
        <v>44</v>
      </c>
      <c r="D73" s="5" t="s">
        <v>35</v>
      </c>
      <c r="E73" s="6">
        <v>981.2</v>
      </c>
      <c r="F73" s="6">
        <v>19</v>
      </c>
      <c r="G73" s="6">
        <v>0</v>
      </c>
      <c r="H73" s="7">
        <v>45504</v>
      </c>
      <c r="I73" s="8">
        <v>441.54</v>
      </c>
      <c r="J73" s="6" t="str">
        <f t="shared" si="3"/>
        <v>July</v>
      </c>
      <c r="N73">
        <f t="shared" si="4"/>
        <v>578.22699999999998</v>
      </c>
      <c r="X73" s="18"/>
      <c r="Y73" s="11"/>
    </row>
    <row r="74" spans="1:25" ht="15" thickBot="1">
      <c r="A74" s="4" t="s">
        <v>99</v>
      </c>
      <c r="B74" s="5" t="s">
        <v>40</v>
      </c>
      <c r="C74" s="5" t="s">
        <v>39</v>
      </c>
      <c r="D74" s="5" t="s">
        <v>33</v>
      </c>
      <c r="E74" s="6">
        <v>539.77</v>
      </c>
      <c r="F74" s="6">
        <v>10</v>
      </c>
      <c r="G74" s="6">
        <v>0.15</v>
      </c>
      <c r="H74" s="7">
        <v>45509</v>
      </c>
      <c r="I74" s="8">
        <v>114.7</v>
      </c>
      <c r="J74" s="6" t="str">
        <f t="shared" si="3"/>
        <v>August</v>
      </c>
      <c r="N74">
        <f t="shared" si="4"/>
        <v>18642.8</v>
      </c>
      <c r="X74" s="18"/>
      <c r="Y74" s="11"/>
    </row>
    <row r="75" spans="1:25" ht="15" thickBot="1">
      <c r="A75" s="4" t="s">
        <v>28</v>
      </c>
      <c r="B75" s="5" t="s">
        <v>31</v>
      </c>
      <c r="C75" s="5" t="s">
        <v>44</v>
      </c>
      <c r="D75" s="5" t="s">
        <v>22</v>
      </c>
      <c r="E75" s="6">
        <v>804.45</v>
      </c>
      <c r="F75" s="6">
        <v>5</v>
      </c>
      <c r="G75" s="6">
        <v>0.2</v>
      </c>
      <c r="H75" s="7">
        <v>45509</v>
      </c>
      <c r="I75" s="8">
        <v>257.42</v>
      </c>
      <c r="J75" s="6" t="str">
        <f t="shared" si="3"/>
        <v>August</v>
      </c>
      <c r="N75">
        <f t="shared" si="4"/>
        <v>4588.0450000000001</v>
      </c>
      <c r="X75" s="18"/>
      <c r="Y75" s="11"/>
    </row>
    <row r="76" spans="1:25" ht="15" thickBot="1">
      <c r="A76" s="4" t="s">
        <v>99</v>
      </c>
      <c r="B76" s="5" t="s">
        <v>58</v>
      </c>
      <c r="C76" s="5" t="s">
        <v>21</v>
      </c>
      <c r="D76" s="5" t="s">
        <v>33</v>
      </c>
      <c r="E76" s="6">
        <v>1526.6</v>
      </c>
      <c r="F76" s="6">
        <v>13</v>
      </c>
      <c r="G76" s="6">
        <v>0.2</v>
      </c>
      <c r="H76" s="7">
        <v>45512</v>
      </c>
      <c r="I76" s="8">
        <v>305.32</v>
      </c>
      <c r="J76" s="6" t="str">
        <f t="shared" si="3"/>
        <v>August</v>
      </c>
      <c r="N76">
        <f t="shared" si="4"/>
        <v>3217.8</v>
      </c>
      <c r="X76" s="18"/>
      <c r="Y76" s="11"/>
    </row>
    <row r="77" spans="1:25" ht="15" thickBot="1">
      <c r="A77" s="4" t="s">
        <v>28</v>
      </c>
      <c r="B77" s="5" t="s">
        <v>57</v>
      </c>
      <c r="C77" s="5" t="s">
        <v>21</v>
      </c>
      <c r="D77" s="5" t="s">
        <v>33</v>
      </c>
      <c r="E77" s="6">
        <v>1215.26</v>
      </c>
      <c r="F77" s="6">
        <v>5</v>
      </c>
      <c r="G77" s="6">
        <v>0.15</v>
      </c>
      <c r="H77" s="7">
        <v>45513</v>
      </c>
      <c r="I77" s="8">
        <v>258.24</v>
      </c>
      <c r="J77" s="6" t="str">
        <f t="shared" si="3"/>
        <v>August</v>
      </c>
      <c r="N77">
        <f t="shared" si="4"/>
        <v>15876.64</v>
      </c>
      <c r="X77" s="18"/>
      <c r="Y77" s="11"/>
    </row>
    <row r="78" spans="1:25" ht="15" thickBot="1">
      <c r="A78" s="4" t="s">
        <v>43</v>
      </c>
      <c r="B78" s="5" t="s">
        <v>83</v>
      </c>
      <c r="C78" s="5" t="s">
        <v>42</v>
      </c>
      <c r="D78" s="5" t="s">
        <v>34</v>
      </c>
      <c r="E78" s="6">
        <v>1261.3399999999999</v>
      </c>
      <c r="F78" s="6">
        <v>3</v>
      </c>
      <c r="G78" s="6">
        <v>0</v>
      </c>
      <c r="H78" s="7">
        <v>45519</v>
      </c>
      <c r="I78" s="8">
        <v>441.47</v>
      </c>
      <c r="J78" s="6" t="str">
        <f t="shared" si="3"/>
        <v>August</v>
      </c>
      <c r="N78">
        <f t="shared" si="4"/>
        <v>5164.8550000000005</v>
      </c>
      <c r="X78" s="18"/>
      <c r="Y78" s="11"/>
    </row>
    <row r="79" spans="1:25" ht="15" thickBot="1">
      <c r="A79" s="4" t="s">
        <v>100</v>
      </c>
      <c r="B79" s="5" t="s">
        <v>82</v>
      </c>
      <c r="C79" s="5" t="s">
        <v>49</v>
      </c>
      <c r="D79" s="5" t="s">
        <v>34</v>
      </c>
      <c r="E79" s="6">
        <v>518.07000000000005</v>
      </c>
      <c r="F79" s="6">
        <v>7</v>
      </c>
      <c r="G79" s="6">
        <v>0.05</v>
      </c>
      <c r="H79" s="7">
        <v>45522</v>
      </c>
      <c r="I79" s="8">
        <v>172.26</v>
      </c>
      <c r="J79" s="6" t="str">
        <f t="shared" si="3"/>
        <v>August</v>
      </c>
      <c r="N79">
        <f t="shared" si="4"/>
        <v>3784.0199999999995</v>
      </c>
      <c r="X79" s="18"/>
      <c r="Y79" s="11"/>
    </row>
    <row r="80" spans="1:25" ht="15" thickBot="1">
      <c r="A80" s="4" t="s">
        <v>60</v>
      </c>
      <c r="B80" s="5" t="s">
        <v>57</v>
      </c>
      <c r="C80" s="5" t="s">
        <v>21</v>
      </c>
      <c r="D80" s="5" t="s">
        <v>35</v>
      </c>
      <c r="E80" s="6">
        <v>1111.3399999999999</v>
      </c>
      <c r="F80" s="6">
        <v>1</v>
      </c>
      <c r="G80" s="6">
        <v>0</v>
      </c>
      <c r="H80" s="7">
        <v>45523</v>
      </c>
      <c r="I80" s="8">
        <v>500.1</v>
      </c>
      <c r="J80" s="6" t="str">
        <f t="shared" si="3"/>
        <v>August</v>
      </c>
      <c r="N80">
        <f t="shared" si="4"/>
        <v>3445.1655000000001</v>
      </c>
      <c r="X80" s="18"/>
      <c r="Y80" s="11"/>
    </row>
    <row r="81" spans="1:25" ht="15" thickBot="1">
      <c r="A81" s="4" t="s">
        <v>48</v>
      </c>
      <c r="B81" s="5" t="s">
        <v>61</v>
      </c>
      <c r="C81" s="5" t="s">
        <v>39</v>
      </c>
      <c r="D81" s="5" t="s">
        <v>30</v>
      </c>
      <c r="E81" s="6">
        <v>1291.47</v>
      </c>
      <c r="F81" s="6">
        <v>18</v>
      </c>
      <c r="G81" s="6">
        <v>0.1</v>
      </c>
      <c r="H81" s="7">
        <v>45526</v>
      </c>
      <c r="I81" s="8">
        <v>581.16</v>
      </c>
      <c r="J81" s="6" t="str">
        <f t="shared" si="3"/>
        <v>August</v>
      </c>
      <c r="N81">
        <f t="shared" si="4"/>
        <v>1111.3399999999999</v>
      </c>
      <c r="X81" s="18"/>
      <c r="Y81" s="11"/>
    </row>
    <row r="82" spans="1:25" ht="15" thickBot="1">
      <c r="A82" s="4" t="s">
        <v>52</v>
      </c>
      <c r="B82" s="5" t="s">
        <v>40</v>
      </c>
      <c r="C82" s="5" t="s">
        <v>49</v>
      </c>
      <c r="D82" s="5" t="s">
        <v>22</v>
      </c>
      <c r="E82" s="6">
        <v>679.71</v>
      </c>
      <c r="F82" s="6">
        <v>19</v>
      </c>
      <c r="G82" s="6">
        <v>0</v>
      </c>
      <c r="H82" s="7">
        <v>45534</v>
      </c>
      <c r="I82" s="8">
        <v>271.88</v>
      </c>
      <c r="J82" s="6" t="str">
        <f t="shared" si="3"/>
        <v>August</v>
      </c>
      <c r="N82">
        <f t="shared" si="4"/>
        <v>20921.813999999998</v>
      </c>
      <c r="X82" s="18"/>
      <c r="Y82" s="11"/>
    </row>
    <row r="83" spans="1:25" ht="15" thickBot="1">
      <c r="A83" s="4" t="s">
        <v>98</v>
      </c>
      <c r="B83" s="5" t="s">
        <v>65</v>
      </c>
      <c r="C83" s="5" t="s">
        <v>39</v>
      </c>
      <c r="D83" s="5" t="s">
        <v>34</v>
      </c>
      <c r="E83" s="6">
        <v>1143.69</v>
      </c>
      <c r="F83" s="6">
        <v>17</v>
      </c>
      <c r="G83" s="6">
        <v>0</v>
      </c>
      <c r="H83" s="7">
        <v>45534</v>
      </c>
      <c r="I83" s="8">
        <v>400.29</v>
      </c>
      <c r="J83" s="6" t="str">
        <f t="shared" si="3"/>
        <v>August</v>
      </c>
      <c r="N83">
        <f t="shared" si="4"/>
        <v>12914.490000000002</v>
      </c>
      <c r="X83" s="18"/>
      <c r="Y83" s="11"/>
    </row>
    <row r="84" spans="1:25" ht="15" thickBot="1">
      <c r="A84" s="4" t="s">
        <v>90</v>
      </c>
      <c r="B84" s="5" t="s">
        <v>76</v>
      </c>
      <c r="C84" s="5" t="s">
        <v>42</v>
      </c>
      <c r="D84" s="5" t="s">
        <v>33</v>
      </c>
      <c r="E84" s="6">
        <v>790.08</v>
      </c>
      <c r="F84" s="6">
        <v>7</v>
      </c>
      <c r="G84" s="6">
        <v>0.1</v>
      </c>
      <c r="H84" s="7">
        <v>45536</v>
      </c>
      <c r="I84" s="8">
        <v>177.77</v>
      </c>
      <c r="J84" s="6" t="str">
        <f t="shared" si="3"/>
        <v>September</v>
      </c>
      <c r="N84">
        <f t="shared" si="4"/>
        <v>19442.73</v>
      </c>
      <c r="X84" s="18"/>
      <c r="Y84" s="11"/>
    </row>
    <row r="85" spans="1:25" ht="15" thickBot="1">
      <c r="A85" s="4" t="s">
        <v>43</v>
      </c>
      <c r="B85" s="5" t="s">
        <v>86</v>
      </c>
      <c r="C85" s="5" t="s">
        <v>42</v>
      </c>
      <c r="D85" s="5" t="s">
        <v>22</v>
      </c>
      <c r="E85" s="6">
        <v>1070.68</v>
      </c>
      <c r="F85" s="6">
        <v>7</v>
      </c>
      <c r="G85" s="6">
        <v>0.05</v>
      </c>
      <c r="H85" s="7">
        <v>45536</v>
      </c>
      <c r="I85" s="8">
        <v>406.86</v>
      </c>
      <c r="J85" s="6" t="str">
        <f t="shared" si="3"/>
        <v>September</v>
      </c>
      <c r="N85">
        <f t="shared" si="4"/>
        <v>4977.5040000000008</v>
      </c>
      <c r="X85" s="18"/>
      <c r="Y85" s="11"/>
    </row>
    <row r="86" spans="1:25" ht="15" thickBot="1">
      <c r="A86" s="4" t="s">
        <v>93</v>
      </c>
      <c r="B86" s="5" t="s">
        <v>54</v>
      </c>
      <c r="C86" s="5" t="s">
        <v>21</v>
      </c>
      <c r="D86" s="5" t="s">
        <v>30</v>
      </c>
      <c r="E86" s="6">
        <v>1168.8900000000001</v>
      </c>
      <c r="F86" s="6">
        <v>4</v>
      </c>
      <c r="G86" s="6">
        <v>0.1</v>
      </c>
      <c r="H86" s="7">
        <v>45544</v>
      </c>
      <c r="I86" s="8">
        <v>526</v>
      </c>
      <c r="J86" s="6" t="str">
        <f t="shared" si="3"/>
        <v>September</v>
      </c>
      <c r="N86">
        <f t="shared" si="4"/>
        <v>7120.0219999999999</v>
      </c>
      <c r="X86" s="18"/>
      <c r="Y86" s="11"/>
    </row>
    <row r="87" spans="1:25" ht="15" thickBot="1">
      <c r="A87" s="4" t="s">
        <v>97</v>
      </c>
      <c r="B87" s="5" t="s">
        <v>20</v>
      </c>
      <c r="C87" s="5" t="s">
        <v>44</v>
      </c>
      <c r="D87" s="5" t="s">
        <v>33</v>
      </c>
      <c r="E87" s="6">
        <v>1335.87</v>
      </c>
      <c r="F87" s="6">
        <v>17</v>
      </c>
      <c r="G87" s="6">
        <v>0</v>
      </c>
      <c r="H87" s="7">
        <v>45544</v>
      </c>
      <c r="I87" s="8">
        <v>333.97</v>
      </c>
      <c r="J87" s="6" t="str">
        <f t="shared" si="3"/>
        <v>September</v>
      </c>
      <c r="N87">
        <f t="shared" si="4"/>
        <v>4208.0040000000008</v>
      </c>
      <c r="X87" s="18"/>
      <c r="Y87" s="11"/>
    </row>
    <row r="88" spans="1:25" ht="15" thickBot="1">
      <c r="A88" s="4" t="s">
        <v>75</v>
      </c>
      <c r="B88" s="5" t="s">
        <v>40</v>
      </c>
      <c r="C88" s="5" t="s">
        <v>39</v>
      </c>
      <c r="D88" s="5" t="s">
        <v>34</v>
      </c>
      <c r="E88" s="6">
        <v>873.7</v>
      </c>
      <c r="F88" s="6">
        <v>9</v>
      </c>
      <c r="G88" s="6">
        <v>0</v>
      </c>
      <c r="H88" s="7">
        <v>45546</v>
      </c>
      <c r="I88" s="8">
        <v>305.8</v>
      </c>
      <c r="J88" s="6" t="str">
        <f t="shared" si="3"/>
        <v>September</v>
      </c>
      <c r="N88">
        <f t="shared" si="4"/>
        <v>22709.789999999997</v>
      </c>
      <c r="X88" s="18"/>
      <c r="Y88" s="11"/>
    </row>
    <row r="89" spans="1:25" ht="15" thickBot="1">
      <c r="A89" s="4" t="s">
        <v>100</v>
      </c>
      <c r="B89" s="5" t="s">
        <v>89</v>
      </c>
      <c r="C89" s="5" t="s">
        <v>21</v>
      </c>
      <c r="D89" s="5" t="s">
        <v>35</v>
      </c>
      <c r="E89" s="6">
        <v>1443.98</v>
      </c>
      <c r="F89" s="6">
        <v>19</v>
      </c>
      <c r="G89" s="6">
        <v>0</v>
      </c>
      <c r="H89" s="7">
        <v>45547</v>
      </c>
      <c r="I89" s="8">
        <v>649.79</v>
      </c>
      <c r="J89" s="6" t="str">
        <f t="shared" si="3"/>
        <v>September</v>
      </c>
      <c r="N89">
        <f t="shared" si="4"/>
        <v>7863.3</v>
      </c>
      <c r="X89" s="18"/>
      <c r="Y89" s="11"/>
    </row>
    <row r="90" spans="1:25" ht="15" thickBot="1">
      <c r="A90" s="4" t="s">
        <v>75</v>
      </c>
      <c r="B90" s="5" t="s">
        <v>47</v>
      </c>
      <c r="C90" s="5" t="s">
        <v>39</v>
      </c>
      <c r="D90" s="5" t="s">
        <v>35</v>
      </c>
      <c r="E90" s="6">
        <v>1154.33</v>
      </c>
      <c r="F90" s="6">
        <v>11</v>
      </c>
      <c r="G90" s="6">
        <v>0.15</v>
      </c>
      <c r="H90" s="7">
        <v>45549</v>
      </c>
      <c r="I90" s="8">
        <v>441.53</v>
      </c>
      <c r="J90" s="6" t="str">
        <f t="shared" si="3"/>
        <v>September</v>
      </c>
      <c r="N90">
        <f t="shared" si="4"/>
        <v>27435.62</v>
      </c>
      <c r="X90" s="18"/>
      <c r="Y90" s="11"/>
    </row>
    <row r="91" spans="1:25" ht="15" thickBot="1">
      <c r="A91" s="4" t="s">
        <v>87</v>
      </c>
      <c r="B91" s="5" t="s">
        <v>76</v>
      </c>
      <c r="C91" s="5" t="s">
        <v>44</v>
      </c>
      <c r="D91" s="5" t="s">
        <v>22</v>
      </c>
      <c r="E91" s="6">
        <v>1264.49</v>
      </c>
      <c r="F91" s="6">
        <v>16</v>
      </c>
      <c r="G91" s="6">
        <v>0.05</v>
      </c>
      <c r="H91" s="7">
        <v>45549</v>
      </c>
      <c r="I91" s="8">
        <v>480.51</v>
      </c>
      <c r="J91" s="6" t="str">
        <f t="shared" si="3"/>
        <v>September</v>
      </c>
      <c r="N91">
        <f t="shared" si="4"/>
        <v>10792.985499999999</v>
      </c>
      <c r="X91" s="18"/>
      <c r="Y91" s="11"/>
    </row>
    <row r="92" spans="1:25" ht="15" thickBot="1">
      <c r="A92" s="4" t="s">
        <v>52</v>
      </c>
      <c r="B92" s="5" t="s">
        <v>62</v>
      </c>
      <c r="C92" s="5" t="s">
        <v>21</v>
      </c>
      <c r="D92" s="5" t="s">
        <v>34</v>
      </c>
      <c r="E92" s="6">
        <v>1101.55</v>
      </c>
      <c r="F92" s="6">
        <v>4</v>
      </c>
      <c r="G92" s="6">
        <v>0.1</v>
      </c>
      <c r="H92" s="7">
        <v>45551</v>
      </c>
      <c r="I92" s="8">
        <v>346.99</v>
      </c>
      <c r="J92" s="6" t="str">
        <f t="shared" si="3"/>
        <v>September</v>
      </c>
      <c r="N92">
        <f t="shared" si="4"/>
        <v>19220.248</v>
      </c>
      <c r="X92" s="18"/>
      <c r="Y92" s="11"/>
    </row>
    <row r="93" spans="1:25" ht="15" thickBot="1">
      <c r="A93" s="4" t="s">
        <v>101</v>
      </c>
      <c r="B93" s="5" t="s">
        <v>29</v>
      </c>
      <c r="C93" s="5" t="s">
        <v>44</v>
      </c>
      <c r="D93" s="5" t="s">
        <v>34</v>
      </c>
      <c r="E93" s="6">
        <v>727.73</v>
      </c>
      <c r="F93" s="6">
        <v>1</v>
      </c>
      <c r="G93" s="6">
        <v>0.1</v>
      </c>
      <c r="H93" s="7">
        <v>45552</v>
      </c>
      <c r="I93" s="8">
        <v>229.23</v>
      </c>
      <c r="J93" s="6" t="str">
        <f t="shared" si="3"/>
        <v>September</v>
      </c>
      <c r="N93">
        <f t="shared" si="4"/>
        <v>3965.58</v>
      </c>
      <c r="X93" s="18"/>
      <c r="Y93" s="11"/>
    </row>
    <row r="94" spans="1:25" ht="15" thickBot="1">
      <c r="A94" s="4" t="s">
        <v>102</v>
      </c>
      <c r="B94" s="5" t="s">
        <v>58</v>
      </c>
      <c r="C94" s="5" t="s">
        <v>39</v>
      </c>
      <c r="D94" s="5" t="s">
        <v>35</v>
      </c>
      <c r="E94" s="6">
        <v>875.41</v>
      </c>
      <c r="F94" s="6">
        <v>13</v>
      </c>
      <c r="G94" s="6">
        <v>0.15</v>
      </c>
      <c r="H94" s="7">
        <v>45552</v>
      </c>
      <c r="I94" s="8">
        <v>334.84</v>
      </c>
      <c r="J94" s="6" t="str">
        <f t="shared" si="3"/>
        <v>September</v>
      </c>
      <c r="N94">
        <f t="shared" si="4"/>
        <v>654.95699999999999</v>
      </c>
      <c r="X94" s="18"/>
      <c r="Y94" s="11"/>
    </row>
    <row r="95" spans="1:25" ht="15" thickBot="1">
      <c r="A95" s="4" t="s">
        <v>97</v>
      </c>
      <c r="B95" s="5" t="s">
        <v>47</v>
      </c>
      <c r="C95" s="5" t="s">
        <v>21</v>
      </c>
      <c r="D95" s="5" t="s">
        <v>33</v>
      </c>
      <c r="E95" s="6">
        <v>1158.94</v>
      </c>
      <c r="F95" s="6">
        <v>19</v>
      </c>
      <c r="G95" s="6">
        <v>0.2</v>
      </c>
      <c r="H95" s="7">
        <v>45553</v>
      </c>
      <c r="I95" s="8">
        <v>231.79</v>
      </c>
      <c r="J95" s="6" t="str">
        <f t="shared" si="3"/>
        <v>September</v>
      </c>
      <c r="N95">
        <f t="shared" si="4"/>
        <v>9673.2805000000008</v>
      </c>
      <c r="X95" s="18"/>
      <c r="Y95" s="11"/>
    </row>
    <row r="96" spans="1:25" ht="15" thickBot="1">
      <c r="A96" s="4" t="s">
        <v>103</v>
      </c>
      <c r="B96" s="5" t="s">
        <v>85</v>
      </c>
      <c r="C96" s="5" t="s">
        <v>44</v>
      </c>
      <c r="D96" s="5" t="s">
        <v>22</v>
      </c>
      <c r="E96" s="6">
        <v>966.3</v>
      </c>
      <c r="F96" s="6">
        <v>2</v>
      </c>
      <c r="G96" s="6">
        <v>0.15</v>
      </c>
      <c r="H96" s="7">
        <v>45557</v>
      </c>
      <c r="I96" s="8">
        <v>328.54</v>
      </c>
      <c r="J96" s="6" t="str">
        <f t="shared" si="3"/>
        <v>September</v>
      </c>
      <c r="N96">
        <f t="shared" si="4"/>
        <v>17615.887999999999</v>
      </c>
      <c r="X96" s="18"/>
      <c r="Y96" s="11"/>
    </row>
    <row r="97" spans="1:25" ht="15" thickBot="1">
      <c r="A97" s="4" t="s">
        <v>98</v>
      </c>
      <c r="B97" s="5" t="s">
        <v>38</v>
      </c>
      <c r="C97" s="5" t="s">
        <v>44</v>
      </c>
      <c r="D97" s="5" t="s">
        <v>22</v>
      </c>
      <c r="E97" s="6">
        <v>917.48</v>
      </c>
      <c r="F97" s="6">
        <v>6</v>
      </c>
      <c r="G97" s="6">
        <v>0</v>
      </c>
      <c r="H97" s="7">
        <v>45558</v>
      </c>
      <c r="I97" s="8">
        <v>366.99</v>
      </c>
      <c r="J97" s="6" t="str">
        <f t="shared" si="3"/>
        <v>September</v>
      </c>
      <c r="N97">
        <f t="shared" si="4"/>
        <v>1642.71</v>
      </c>
      <c r="X97" s="18"/>
      <c r="Y97" s="11"/>
    </row>
    <row r="98" spans="1:25" ht="15" thickBot="1">
      <c r="A98" s="4" t="s">
        <v>77</v>
      </c>
      <c r="B98" s="5" t="s">
        <v>66</v>
      </c>
      <c r="C98" s="5" t="s">
        <v>21</v>
      </c>
      <c r="D98" s="5" t="s">
        <v>34</v>
      </c>
      <c r="E98" s="6">
        <v>1172.97</v>
      </c>
      <c r="F98" s="6">
        <v>7</v>
      </c>
      <c r="G98" s="6">
        <v>0.15</v>
      </c>
      <c r="H98" s="7">
        <v>45559</v>
      </c>
      <c r="I98" s="8">
        <v>348.96</v>
      </c>
      <c r="J98" s="6" t="str">
        <f t="shared" si="3"/>
        <v>September</v>
      </c>
      <c r="N98">
        <f t="shared" si="4"/>
        <v>5504.88</v>
      </c>
      <c r="X98" s="18"/>
      <c r="Y98" s="11"/>
    </row>
    <row r="99" spans="1:25" ht="15" thickBot="1">
      <c r="A99" s="4" t="s">
        <v>92</v>
      </c>
      <c r="B99" s="5" t="s">
        <v>47</v>
      </c>
      <c r="C99" s="5" t="s">
        <v>49</v>
      </c>
      <c r="D99" s="5" t="s">
        <v>30</v>
      </c>
      <c r="E99" s="6">
        <v>1205.82</v>
      </c>
      <c r="F99" s="6">
        <v>11</v>
      </c>
      <c r="G99" s="6">
        <v>0.1</v>
      </c>
      <c r="H99" s="7">
        <v>45559</v>
      </c>
      <c r="I99" s="8">
        <v>542.62</v>
      </c>
      <c r="J99" s="6" t="str">
        <f t="shared" si="3"/>
        <v>September</v>
      </c>
      <c r="N99">
        <f t="shared" si="4"/>
        <v>6979.1715000000004</v>
      </c>
      <c r="X99" s="18"/>
      <c r="Y99" s="11"/>
    </row>
    <row r="100" spans="1:25" ht="15" thickBot="1">
      <c r="A100" s="4" t="s">
        <v>37</v>
      </c>
      <c r="B100" s="5" t="s">
        <v>89</v>
      </c>
      <c r="C100" s="5" t="s">
        <v>21</v>
      </c>
      <c r="D100" s="5" t="s">
        <v>35</v>
      </c>
      <c r="E100" s="6">
        <v>826.93</v>
      </c>
      <c r="F100" s="6">
        <v>10</v>
      </c>
      <c r="G100" s="6">
        <v>0.2</v>
      </c>
      <c r="H100" s="7">
        <v>45564</v>
      </c>
      <c r="I100" s="8">
        <v>297.69</v>
      </c>
      <c r="J100" s="6" t="str">
        <f t="shared" si="3"/>
        <v>September</v>
      </c>
      <c r="N100">
        <f t="shared" si="4"/>
        <v>11937.617999999999</v>
      </c>
      <c r="X100" s="18"/>
      <c r="Y100" s="11"/>
    </row>
    <row r="101" spans="1:25" ht="15" thickBot="1">
      <c r="A101" s="4" t="s">
        <v>97</v>
      </c>
      <c r="B101" s="5" t="s">
        <v>47</v>
      </c>
      <c r="C101" s="5" t="s">
        <v>42</v>
      </c>
      <c r="D101" s="5" t="s">
        <v>30</v>
      </c>
      <c r="E101" s="6">
        <v>902.19</v>
      </c>
      <c r="F101" s="6">
        <v>12</v>
      </c>
      <c r="G101" s="6">
        <v>0</v>
      </c>
      <c r="H101" s="7">
        <v>45564</v>
      </c>
      <c r="I101" s="8">
        <v>451.1</v>
      </c>
      <c r="J101" s="6" t="str">
        <f t="shared" si="3"/>
        <v>September</v>
      </c>
      <c r="N101">
        <f t="shared" si="4"/>
        <v>6615.44</v>
      </c>
      <c r="X101" s="18"/>
      <c r="Y101" s="11"/>
    </row>
    <row r="102" spans="1:25" ht="15" thickBot="1">
      <c r="A102" s="4" t="s">
        <v>102</v>
      </c>
      <c r="B102" s="5" t="s">
        <v>58</v>
      </c>
      <c r="C102" s="5" t="s">
        <v>49</v>
      </c>
      <c r="D102" s="5" t="s">
        <v>22</v>
      </c>
      <c r="E102" s="6">
        <v>585.97</v>
      </c>
      <c r="F102" s="6">
        <v>17</v>
      </c>
      <c r="G102" s="6">
        <v>0.1</v>
      </c>
      <c r="H102" s="7">
        <v>45565</v>
      </c>
      <c r="I102" s="8">
        <v>210.95</v>
      </c>
      <c r="J102" s="6" t="str">
        <f t="shared" si="3"/>
        <v>September</v>
      </c>
      <c r="N102">
        <f t="shared" si="4"/>
        <v>10826.28</v>
      </c>
      <c r="X102" s="18"/>
      <c r="Y102" s="11"/>
    </row>
    <row r="103" spans="1:25" ht="15" thickBot="1">
      <c r="A103" s="4" t="s">
        <v>94</v>
      </c>
      <c r="B103" s="5" t="s">
        <v>53</v>
      </c>
      <c r="C103" s="5" t="s">
        <v>49</v>
      </c>
      <c r="D103" s="5" t="s">
        <v>30</v>
      </c>
      <c r="E103" s="6">
        <v>990.19</v>
      </c>
      <c r="F103" s="6">
        <v>8</v>
      </c>
      <c r="G103" s="6">
        <v>0.1</v>
      </c>
      <c r="H103" s="7">
        <v>45565</v>
      </c>
      <c r="I103" s="8">
        <v>445.59</v>
      </c>
      <c r="J103" s="6" t="str">
        <f t="shared" si="3"/>
        <v>September</v>
      </c>
      <c r="N103">
        <f t="shared" si="4"/>
        <v>8965.3410000000003</v>
      </c>
      <c r="X103" s="18"/>
      <c r="Y103" s="11"/>
    </row>
    <row r="104" spans="1:25" ht="15" thickBot="1">
      <c r="A104" s="4" t="s">
        <v>80</v>
      </c>
      <c r="B104" s="5" t="s">
        <v>45</v>
      </c>
      <c r="C104" s="5" t="s">
        <v>42</v>
      </c>
      <c r="D104" s="5" t="s">
        <v>33</v>
      </c>
      <c r="E104" s="6">
        <v>1014.09</v>
      </c>
      <c r="F104" s="6">
        <v>13</v>
      </c>
      <c r="G104" s="6">
        <v>0.2</v>
      </c>
      <c r="H104" s="7">
        <v>45567</v>
      </c>
      <c r="I104" s="8">
        <v>202.82</v>
      </c>
      <c r="J104" s="6" t="str">
        <f t="shared" si="3"/>
        <v>October</v>
      </c>
      <c r="N104">
        <f t="shared" si="4"/>
        <v>7129.3680000000004</v>
      </c>
      <c r="X104" s="18"/>
      <c r="Y104" s="11"/>
    </row>
    <row r="105" spans="1:25" ht="15" thickBot="1">
      <c r="A105" s="4" t="s">
        <v>28</v>
      </c>
      <c r="B105" s="5" t="s">
        <v>86</v>
      </c>
      <c r="C105" s="5" t="s">
        <v>49</v>
      </c>
      <c r="D105" s="5" t="s">
        <v>33</v>
      </c>
      <c r="E105" s="6">
        <v>925.29</v>
      </c>
      <c r="F105" s="6">
        <v>17</v>
      </c>
      <c r="G105" s="6">
        <v>0</v>
      </c>
      <c r="H105" s="7">
        <v>45570</v>
      </c>
      <c r="I105" s="8">
        <v>231.32</v>
      </c>
      <c r="J105" s="6" t="str">
        <f t="shared" si="3"/>
        <v>October</v>
      </c>
      <c r="N105">
        <f t="shared" si="4"/>
        <v>10546.536</v>
      </c>
      <c r="X105" s="18"/>
      <c r="Y105" s="11"/>
    </row>
    <row r="106" spans="1:25" ht="15" thickBot="1">
      <c r="A106" s="4" t="s">
        <v>91</v>
      </c>
      <c r="B106" s="5" t="s">
        <v>85</v>
      </c>
      <c r="C106" s="5" t="s">
        <v>39</v>
      </c>
      <c r="D106" s="5" t="s">
        <v>34</v>
      </c>
      <c r="E106" s="6">
        <v>1286.54</v>
      </c>
      <c r="F106" s="6">
        <v>8</v>
      </c>
      <c r="G106" s="6">
        <v>0</v>
      </c>
      <c r="H106" s="7">
        <v>45575</v>
      </c>
      <c r="I106" s="8">
        <v>450.29</v>
      </c>
      <c r="J106" s="6" t="str">
        <f t="shared" si="3"/>
        <v>October</v>
      </c>
      <c r="N106">
        <f t="shared" si="4"/>
        <v>15729.93</v>
      </c>
      <c r="X106" s="18"/>
      <c r="Y106" s="11"/>
    </row>
    <row r="107" spans="1:25" ht="15" thickBot="1">
      <c r="A107" s="4" t="s">
        <v>70</v>
      </c>
      <c r="B107" s="5" t="s">
        <v>89</v>
      </c>
      <c r="C107" s="5" t="s">
        <v>44</v>
      </c>
      <c r="D107" s="5" t="s">
        <v>22</v>
      </c>
      <c r="E107" s="6">
        <v>961.62</v>
      </c>
      <c r="F107" s="6">
        <v>8</v>
      </c>
      <c r="G107" s="6">
        <v>0.2</v>
      </c>
      <c r="H107" s="7">
        <v>45577</v>
      </c>
      <c r="I107" s="8">
        <v>307.72000000000003</v>
      </c>
      <c r="J107" s="6" t="str">
        <f t="shared" si="3"/>
        <v>October</v>
      </c>
      <c r="N107">
        <f t="shared" si="4"/>
        <v>10292.32</v>
      </c>
      <c r="X107" s="18"/>
      <c r="Y107" s="11"/>
    </row>
    <row r="108" spans="1:25" ht="15" thickBot="1">
      <c r="A108" s="4" t="s">
        <v>80</v>
      </c>
      <c r="B108" s="5" t="s">
        <v>47</v>
      </c>
      <c r="C108" s="5" t="s">
        <v>39</v>
      </c>
      <c r="D108" s="5" t="s">
        <v>22</v>
      </c>
      <c r="E108" s="6">
        <v>1081.1400000000001</v>
      </c>
      <c r="F108" s="6">
        <v>19</v>
      </c>
      <c r="G108" s="6">
        <v>0.15</v>
      </c>
      <c r="H108" s="7">
        <v>45577</v>
      </c>
      <c r="I108" s="8">
        <v>367.59</v>
      </c>
      <c r="J108" s="6" t="str">
        <f t="shared" si="3"/>
        <v>October</v>
      </c>
      <c r="N108">
        <f t="shared" si="4"/>
        <v>6154.3680000000004</v>
      </c>
      <c r="X108" s="18"/>
      <c r="Y108" s="11"/>
    </row>
    <row r="109" spans="1:25" ht="15" thickBot="1">
      <c r="A109" s="4" t="s">
        <v>93</v>
      </c>
      <c r="B109" s="5" t="s">
        <v>47</v>
      </c>
      <c r="C109" s="5" t="s">
        <v>21</v>
      </c>
      <c r="D109" s="5" t="s">
        <v>30</v>
      </c>
      <c r="E109" s="6">
        <v>1923.66</v>
      </c>
      <c r="F109" s="6">
        <v>9</v>
      </c>
      <c r="G109" s="6">
        <v>0.2</v>
      </c>
      <c r="H109" s="7">
        <v>45580</v>
      </c>
      <c r="I109" s="8">
        <v>769.46</v>
      </c>
      <c r="J109" s="6" t="str">
        <f t="shared" si="3"/>
        <v>October</v>
      </c>
      <c r="N109">
        <f t="shared" si="4"/>
        <v>17460.411000000004</v>
      </c>
      <c r="X109" s="18"/>
      <c r="Y109" s="11"/>
    </row>
    <row r="110" spans="1:25" ht="15" thickBot="1">
      <c r="A110" s="4" t="s">
        <v>91</v>
      </c>
      <c r="B110" s="5" t="s">
        <v>62</v>
      </c>
      <c r="C110" s="5" t="s">
        <v>42</v>
      </c>
      <c r="D110" s="5" t="s">
        <v>30</v>
      </c>
      <c r="E110" s="6">
        <v>728.71</v>
      </c>
      <c r="F110" s="6">
        <v>14</v>
      </c>
      <c r="G110" s="6">
        <v>0.1</v>
      </c>
      <c r="H110" s="7">
        <v>45581</v>
      </c>
      <c r="I110" s="8">
        <v>327.92</v>
      </c>
      <c r="J110" s="6" t="str">
        <f t="shared" si="3"/>
        <v>October</v>
      </c>
      <c r="N110">
        <f t="shared" si="4"/>
        <v>13850.352000000003</v>
      </c>
      <c r="X110" s="18"/>
      <c r="Y110" s="11"/>
    </row>
    <row r="111" spans="1:25" ht="15" thickBot="1">
      <c r="A111" s="4" t="s">
        <v>19</v>
      </c>
      <c r="B111" s="5" t="s">
        <v>65</v>
      </c>
      <c r="C111" s="5" t="s">
        <v>42</v>
      </c>
      <c r="D111" s="5" t="s">
        <v>30</v>
      </c>
      <c r="E111" s="6">
        <v>1301.8900000000001</v>
      </c>
      <c r="F111" s="6">
        <v>7</v>
      </c>
      <c r="G111" s="6">
        <v>0.15</v>
      </c>
      <c r="H111" s="7">
        <v>45581</v>
      </c>
      <c r="I111" s="8">
        <v>553.29999999999995</v>
      </c>
      <c r="J111" s="6" t="str">
        <f t="shared" si="3"/>
        <v>October</v>
      </c>
      <c r="N111">
        <f t="shared" si="4"/>
        <v>9181.746000000001</v>
      </c>
      <c r="X111" s="18"/>
      <c r="Y111" s="11"/>
    </row>
    <row r="112" spans="1:25" ht="15" thickBot="1">
      <c r="A112" s="4" t="s">
        <v>99</v>
      </c>
      <c r="B112" s="5" t="s">
        <v>62</v>
      </c>
      <c r="C112" s="5" t="s">
        <v>39</v>
      </c>
      <c r="D112" s="5" t="s">
        <v>22</v>
      </c>
      <c r="E112" s="6">
        <v>980.18</v>
      </c>
      <c r="F112" s="6">
        <v>16</v>
      </c>
      <c r="G112" s="6">
        <v>0.1</v>
      </c>
      <c r="H112" s="7">
        <v>45582</v>
      </c>
      <c r="I112" s="8">
        <v>352.86</v>
      </c>
      <c r="J112" s="6" t="str">
        <f t="shared" si="3"/>
        <v>October</v>
      </c>
      <c r="N112">
        <f t="shared" si="4"/>
        <v>7746.2455000000009</v>
      </c>
      <c r="X112" s="18"/>
      <c r="Y112" s="11"/>
    </row>
    <row r="113" spans="1:25" ht="15" thickBot="1">
      <c r="A113" s="4" t="s">
        <v>102</v>
      </c>
      <c r="B113" s="5" t="s">
        <v>47</v>
      </c>
      <c r="C113" s="5" t="s">
        <v>21</v>
      </c>
      <c r="D113" s="5" t="s">
        <v>30</v>
      </c>
      <c r="E113" s="6">
        <v>697.57</v>
      </c>
      <c r="F113" s="6">
        <v>17</v>
      </c>
      <c r="G113" s="6">
        <v>0.1</v>
      </c>
      <c r="H113" s="7">
        <v>45584</v>
      </c>
      <c r="I113" s="8">
        <v>313.91000000000003</v>
      </c>
      <c r="J113" s="6" t="str">
        <f t="shared" si="3"/>
        <v>October</v>
      </c>
      <c r="N113">
        <f t="shared" si="4"/>
        <v>14114.591999999999</v>
      </c>
      <c r="X113" s="18"/>
      <c r="Y113" s="11"/>
    </row>
    <row r="114" spans="1:25" ht="15" thickBot="1">
      <c r="A114" s="4" t="s">
        <v>84</v>
      </c>
      <c r="B114" s="5" t="s">
        <v>31</v>
      </c>
      <c r="C114" s="5" t="s">
        <v>21</v>
      </c>
      <c r="D114" s="5" t="s">
        <v>34</v>
      </c>
      <c r="E114" s="6">
        <v>1193.6099999999999</v>
      </c>
      <c r="F114" s="6">
        <v>1</v>
      </c>
      <c r="G114" s="6">
        <v>0.15</v>
      </c>
      <c r="H114" s="7">
        <v>45584</v>
      </c>
      <c r="I114" s="8">
        <v>355.1</v>
      </c>
      <c r="J114" s="6" t="str">
        <f t="shared" si="3"/>
        <v>October</v>
      </c>
      <c r="N114">
        <f t="shared" si="4"/>
        <v>10672.821</v>
      </c>
      <c r="X114" s="18"/>
      <c r="Y114" s="11"/>
    </row>
    <row r="115" spans="1:25" ht="15" thickBot="1">
      <c r="A115" s="4" t="s">
        <v>64</v>
      </c>
      <c r="B115" s="5" t="s">
        <v>58</v>
      </c>
      <c r="C115" s="5" t="s">
        <v>44</v>
      </c>
      <c r="D115" s="5" t="s">
        <v>33</v>
      </c>
      <c r="E115" s="6">
        <v>771.02</v>
      </c>
      <c r="F115" s="6">
        <v>1</v>
      </c>
      <c r="G115" s="6">
        <v>0</v>
      </c>
      <c r="H115" s="7">
        <v>45585</v>
      </c>
      <c r="I115" s="8">
        <v>192.76</v>
      </c>
      <c r="J115" s="6" t="str">
        <f t="shared" si="3"/>
        <v>October</v>
      </c>
      <c r="N115">
        <f t="shared" si="4"/>
        <v>1014.5684999999999</v>
      </c>
      <c r="X115" s="18"/>
      <c r="Y115" s="11"/>
    </row>
    <row r="116" spans="1:25" ht="15" thickBot="1">
      <c r="A116" s="4" t="s">
        <v>97</v>
      </c>
      <c r="B116" s="5" t="s">
        <v>81</v>
      </c>
      <c r="C116" s="5" t="s">
        <v>49</v>
      </c>
      <c r="D116" s="5" t="s">
        <v>30</v>
      </c>
      <c r="E116" s="6">
        <v>661.09</v>
      </c>
      <c r="F116" s="6">
        <v>1</v>
      </c>
      <c r="G116" s="6">
        <v>0.2</v>
      </c>
      <c r="H116" s="7">
        <v>45593</v>
      </c>
      <c r="I116" s="8">
        <v>264.44</v>
      </c>
      <c r="J116" s="6" t="str">
        <f t="shared" si="3"/>
        <v>October</v>
      </c>
      <c r="N116">
        <f t="shared" si="4"/>
        <v>771.02</v>
      </c>
      <c r="X116" s="18"/>
      <c r="Y116" s="11"/>
    </row>
    <row r="117" spans="1:25" ht="15" thickBot="1">
      <c r="A117" s="4" t="s">
        <v>28</v>
      </c>
      <c r="B117" s="5" t="s">
        <v>40</v>
      </c>
      <c r="C117" s="5" t="s">
        <v>21</v>
      </c>
      <c r="D117" s="5" t="s">
        <v>33</v>
      </c>
      <c r="E117" s="6">
        <v>688.83</v>
      </c>
      <c r="F117" s="6">
        <v>15</v>
      </c>
      <c r="G117" s="6">
        <v>0</v>
      </c>
      <c r="H117" s="7">
        <v>45595</v>
      </c>
      <c r="I117" s="8">
        <v>172.21</v>
      </c>
      <c r="J117" s="6" t="str">
        <f t="shared" si="3"/>
        <v>October</v>
      </c>
      <c r="N117">
        <f t="shared" si="4"/>
        <v>528.87200000000007</v>
      </c>
      <c r="X117" s="18"/>
      <c r="Y117" s="11"/>
    </row>
    <row r="118" spans="1:25" ht="15" thickBot="1">
      <c r="A118" s="4" t="s">
        <v>101</v>
      </c>
      <c r="B118" s="5" t="s">
        <v>57</v>
      </c>
      <c r="C118" s="5" t="s">
        <v>42</v>
      </c>
      <c r="D118" s="5" t="s">
        <v>22</v>
      </c>
      <c r="E118" s="6">
        <v>1249.0999999999999</v>
      </c>
      <c r="F118" s="6">
        <v>4</v>
      </c>
      <c r="G118" s="6">
        <v>0.05</v>
      </c>
      <c r="H118" s="7">
        <v>45597</v>
      </c>
      <c r="I118" s="8">
        <v>474.66</v>
      </c>
      <c r="J118" s="6" t="str">
        <f t="shared" si="3"/>
        <v>November</v>
      </c>
      <c r="N118">
        <f t="shared" si="4"/>
        <v>10332.450000000001</v>
      </c>
      <c r="X118" s="18"/>
      <c r="Y118" s="11"/>
    </row>
    <row r="119" spans="1:25" ht="15" thickBot="1">
      <c r="A119" s="4" t="s">
        <v>80</v>
      </c>
      <c r="B119" s="5" t="s">
        <v>47</v>
      </c>
      <c r="C119" s="5" t="s">
        <v>39</v>
      </c>
      <c r="D119" s="5" t="s">
        <v>35</v>
      </c>
      <c r="E119" s="6">
        <v>1014.22</v>
      </c>
      <c r="F119" s="6">
        <v>14</v>
      </c>
      <c r="G119" s="6">
        <v>0.05</v>
      </c>
      <c r="H119" s="7">
        <v>45599</v>
      </c>
      <c r="I119" s="8">
        <v>433.58</v>
      </c>
      <c r="J119" s="6" t="str">
        <f t="shared" si="3"/>
        <v>November</v>
      </c>
      <c r="N119">
        <f t="shared" si="4"/>
        <v>4746.58</v>
      </c>
      <c r="X119" s="18"/>
      <c r="Y119" s="11"/>
    </row>
    <row r="120" spans="1:25" ht="15" thickBot="1">
      <c r="A120" s="4" t="s">
        <v>91</v>
      </c>
      <c r="B120" s="5" t="s">
        <v>86</v>
      </c>
      <c r="C120" s="5" t="s">
        <v>39</v>
      </c>
      <c r="D120" s="5" t="s">
        <v>22</v>
      </c>
      <c r="E120" s="6">
        <v>1010.58</v>
      </c>
      <c r="F120" s="6">
        <v>2</v>
      </c>
      <c r="G120" s="6">
        <v>0.15</v>
      </c>
      <c r="H120" s="7">
        <v>45605</v>
      </c>
      <c r="I120" s="8">
        <v>343.6</v>
      </c>
      <c r="J120" s="6" t="str">
        <f t="shared" si="3"/>
        <v>November</v>
      </c>
      <c r="N120">
        <f t="shared" si="4"/>
        <v>13489.126</v>
      </c>
      <c r="X120" s="18"/>
      <c r="Y120" s="11"/>
    </row>
    <row r="121" spans="1:25" ht="15" thickBot="1">
      <c r="A121" s="4" t="s">
        <v>60</v>
      </c>
      <c r="B121" s="5" t="s">
        <v>88</v>
      </c>
      <c r="C121" s="5" t="s">
        <v>49</v>
      </c>
      <c r="D121" s="5" t="s">
        <v>34</v>
      </c>
      <c r="E121" s="6">
        <v>957.29</v>
      </c>
      <c r="F121" s="6">
        <v>4</v>
      </c>
      <c r="G121" s="6">
        <v>0.05</v>
      </c>
      <c r="H121" s="7">
        <v>45605</v>
      </c>
      <c r="I121" s="8">
        <v>318.3</v>
      </c>
      <c r="J121" s="6" t="str">
        <f t="shared" si="3"/>
        <v>November</v>
      </c>
      <c r="N121">
        <f t="shared" si="4"/>
        <v>1717.9860000000001</v>
      </c>
      <c r="X121" s="18"/>
      <c r="Y121" s="11"/>
    </row>
    <row r="122" spans="1:25" ht="15" thickBot="1">
      <c r="A122" s="4" t="s">
        <v>56</v>
      </c>
      <c r="B122" s="5" t="s">
        <v>82</v>
      </c>
      <c r="C122" s="5" t="s">
        <v>49</v>
      </c>
      <c r="D122" s="5" t="s">
        <v>34</v>
      </c>
      <c r="E122" s="6">
        <v>1077.92</v>
      </c>
      <c r="F122" s="6">
        <v>3</v>
      </c>
      <c r="G122" s="6">
        <v>0.05</v>
      </c>
      <c r="H122" s="7">
        <v>45608</v>
      </c>
      <c r="I122" s="8">
        <v>358.41</v>
      </c>
      <c r="J122" s="6" t="str">
        <f t="shared" si="3"/>
        <v>November</v>
      </c>
      <c r="N122">
        <f t="shared" si="4"/>
        <v>3637.7019999999998</v>
      </c>
      <c r="X122" s="18"/>
      <c r="Y122" s="11"/>
    </row>
    <row r="123" spans="1:25" ht="15" thickBot="1">
      <c r="A123" s="4" t="s">
        <v>90</v>
      </c>
      <c r="B123" s="5" t="s">
        <v>76</v>
      </c>
      <c r="C123" s="5" t="s">
        <v>44</v>
      </c>
      <c r="D123" s="5" t="s">
        <v>30</v>
      </c>
      <c r="E123" s="6">
        <v>1163.01</v>
      </c>
      <c r="F123" s="6">
        <v>5</v>
      </c>
      <c r="G123" s="6">
        <v>0</v>
      </c>
      <c r="H123" s="7">
        <v>45611</v>
      </c>
      <c r="I123" s="8">
        <v>581.5</v>
      </c>
      <c r="J123" s="6" t="str">
        <f t="shared" si="3"/>
        <v>November</v>
      </c>
      <c r="N123">
        <f t="shared" si="4"/>
        <v>3072.0720000000001</v>
      </c>
      <c r="X123" s="18"/>
      <c r="Y123" s="11"/>
    </row>
    <row r="124" spans="1:25" ht="15" thickBot="1">
      <c r="A124" s="4" t="s">
        <v>91</v>
      </c>
      <c r="B124" s="5" t="s">
        <v>82</v>
      </c>
      <c r="C124" s="5" t="s">
        <v>39</v>
      </c>
      <c r="D124" s="5" t="s">
        <v>35</v>
      </c>
      <c r="E124" s="6">
        <v>1014.56</v>
      </c>
      <c r="F124" s="6">
        <v>10</v>
      </c>
      <c r="G124" s="6">
        <v>0.1</v>
      </c>
      <c r="H124" s="7">
        <v>45612</v>
      </c>
      <c r="I124" s="8">
        <v>410.9</v>
      </c>
      <c r="J124" s="6" t="str">
        <f t="shared" si="3"/>
        <v>November</v>
      </c>
      <c r="N124">
        <f t="shared" si="4"/>
        <v>5815.05</v>
      </c>
      <c r="X124" s="18"/>
      <c r="Y124" s="11"/>
    </row>
    <row r="125" spans="1:25" ht="15" thickBot="1">
      <c r="A125" s="4" t="s">
        <v>19</v>
      </c>
      <c r="B125" s="5" t="s">
        <v>38</v>
      </c>
      <c r="C125" s="5" t="s">
        <v>44</v>
      </c>
      <c r="D125" s="5" t="s">
        <v>33</v>
      </c>
      <c r="E125" s="6">
        <v>718.04</v>
      </c>
      <c r="F125" s="6">
        <v>14</v>
      </c>
      <c r="G125" s="6">
        <v>0</v>
      </c>
      <c r="H125" s="7">
        <v>45613</v>
      </c>
      <c r="I125" s="8">
        <v>179.51</v>
      </c>
      <c r="J125" s="6" t="str">
        <f t="shared" si="3"/>
        <v>November</v>
      </c>
      <c r="N125">
        <f t="shared" si="4"/>
        <v>9131.0399999999991</v>
      </c>
      <c r="X125" s="18"/>
      <c r="Y125" s="11"/>
    </row>
    <row r="126" spans="1:25" ht="15" thickBot="1">
      <c r="A126" s="4" t="s">
        <v>100</v>
      </c>
      <c r="B126" s="5" t="s">
        <v>38</v>
      </c>
      <c r="C126" s="5" t="s">
        <v>42</v>
      </c>
      <c r="D126" s="5" t="s">
        <v>30</v>
      </c>
      <c r="E126" s="6">
        <v>1277.8499999999999</v>
      </c>
      <c r="F126" s="6">
        <v>18</v>
      </c>
      <c r="G126" s="6">
        <v>0.2</v>
      </c>
      <c r="H126" s="7">
        <v>45613</v>
      </c>
      <c r="I126" s="8">
        <v>511.14</v>
      </c>
      <c r="J126" s="6" t="str">
        <f t="shared" si="3"/>
        <v>November</v>
      </c>
      <c r="N126">
        <f t="shared" si="4"/>
        <v>10052.56</v>
      </c>
      <c r="X126" s="18"/>
      <c r="Y126" s="11"/>
    </row>
    <row r="127" spans="1:25" ht="15" thickBot="1">
      <c r="A127" s="4" t="s">
        <v>99</v>
      </c>
      <c r="B127" s="5" t="s">
        <v>47</v>
      </c>
      <c r="C127" s="5" t="s">
        <v>49</v>
      </c>
      <c r="D127" s="5" t="s">
        <v>33</v>
      </c>
      <c r="E127" s="6">
        <v>706.73</v>
      </c>
      <c r="F127" s="6">
        <v>1</v>
      </c>
      <c r="G127" s="6">
        <v>0.15</v>
      </c>
      <c r="H127" s="7">
        <v>45613</v>
      </c>
      <c r="I127" s="8">
        <v>150.18</v>
      </c>
      <c r="J127" s="6" t="str">
        <f t="shared" si="3"/>
        <v>November</v>
      </c>
      <c r="N127">
        <f t="shared" si="4"/>
        <v>18401.04</v>
      </c>
      <c r="X127" s="18"/>
      <c r="Y127" s="11"/>
    </row>
    <row r="128" spans="1:25" ht="15" thickBot="1">
      <c r="A128" s="4" t="s">
        <v>96</v>
      </c>
      <c r="B128" s="5" t="s">
        <v>76</v>
      </c>
      <c r="C128" s="5" t="s">
        <v>39</v>
      </c>
      <c r="D128" s="5" t="s">
        <v>33</v>
      </c>
      <c r="E128" s="6">
        <v>1410.59</v>
      </c>
      <c r="F128" s="6">
        <v>15</v>
      </c>
      <c r="G128" s="6">
        <v>0</v>
      </c>
      <c r="H128" s="7">
        <v>45615</v>
      </c>
      <c r="I128" s="8">
        <v>352.65</v>
      </c>
      <c r="J128" s="6" t="str">
        <f t="shared" si="3"/>
        <v>November</v>
      </c>
      <c r="N128">
        <f t="shared" si="4"/>
        <v>600.72050000000002</v>
      </c>
      <c r="X128" s="18"/>
      <c r="Y128" s="11"/>
    </row>
    <row r="129" spans="1:25" ht="15" thickBot="1">
      <c r="A129" s="4" t="s">
        <v>64</v>
      </c>
      <c r="B129" s="5" t="s">
        <v>66</v>
      </c>
      <c r="C129" s="5" t="s">
        <v>44</v>
      </c>
      <c r="D129" s="5" t="s">
        <v>34</v>
      </c>
      <c r="E129" s="6">
        <v>1350.33</v>
      </c>
      <c r="F129" s="6">
        <v>10</v>
      </c>
      <c r="G129" s="6">
        <v>0</v>
      </c>
      <c r="H129" s="7">
        <v>45615</v>
      </c>
      <c r="I129" s="8">
        <v>472.62</v>
      </c>
      <c r="J129" s="6" t="str">
        <f t="shared" si="3"/>
        <v>November</v>
      </c>
      <c r="N129">
        <f t="shared" si="4"/>
        <v>21158.85</v>
      </c>
      <c r="X129" s="18"/>
      <c r="Y129" s="11"/>
    </row>
    <row r="130" spans="1:25" ht="15" thickBot="1">
      <c r="A130" s="4" t="s">
        <v>77</v>
      </c>
      <c r="B130" s="5" t="s">
        <v>82</v>
      </c>
      <c r="C130" s="5" t="s">
        <v>39</v>
      </c>
      <c r="D130" s="5" t="s">
        <v>33</v>
      </c>
      <c r="E130" s="6">
        <v>919.18</v>
      </c>
      <c r="F130" s="6">
        <v>4</v>
      </c>
      <c r="G130" s="6">
        <v>0.15</v>
      </c>
      <c r="H130" s="7">
        <v>45615</v>
      </c>
      <c r="I130" s="8">
        <v>195.33</v>
      </c>
      <c r="J130" s="6" t="str">
        <f t="shared" ref="J130:J193" si="5">TEXT(H130,"MMMM")</f>
        <v>November</v>
      </c>
      <c r="N130">
        <f t="shared" si="4"/>
        <v>13503.3</v>
      </c>
      <c r="X130" s="18"/>
      <c r="Y130" s="11"/>
    </row>
    <row r="131" spans="1:25" ht="15" thickBot="1">
      <c r="A131" s="4" t="s">
        <v>102</v>
      </c>
      <c r="B131" s="5" t="s">
        <v>47</v>
      </c>
      <c r="C131" s="5" t="s">
        <v>21</v>
      </c>
      <c r="D131" s="5" t="s">
        <v>33</v>
      </c>
      <c r="E131" s="6">
        <v>258.51</v>
      </c>
      <c r="F131" s="6">
        <v>19</v>
      </c>
      <c r="G131" s="6">
        <v>0</v>
      </c>
      <c r="H131" s="7">
        <v>45616</v>
      </c>
      <c r="I131" s="8">
        <v>64.63</v>
      </c>
      <c r="J131" s="6" t="str">
        <f t="shared" si="5"/>
        <v>November</v>
      </c>
      <c r="N131">
        <f t="shared" si="4"/>
        <v>3125.212</v>
      </c>
      <c r="X131" s="18"/>
      <c r="Y131" s="11"/>
    </row>
    <row r="132" spans="1:25" ht="15" thickBot="1">
      <c r="A132" s="4" t="s">
        <v>95</v>
      </c>
      <c r="B132" s="5" t="s">
        <v>66</v>
      </c>
      <c r="C132" s="5" t="s">
        <v>39</v>
      </c>
      <c r="D132" s="5" t="s">
        <v>22</v>
      </c>
      <c r="E132" s="6">
        <v>1213.48</v>
      </c>
      <c r="F132" s="6">
        <v>5</v>
      </c>
      <c r="G132" s="6">
        <v>0.05</v>
      </c>
      <c r="H132" s="7">
        <v>45616</v>
      </c>
      <c r="I132" s="8">
        <v>461.12</v>
      </c>
      <c r="J132" s="6" t="str">
        <f t="shared" si="5"/>
        <v>November</v>
      </c>
      <c r="N132">
        <f t="shared" si="4"/>
        <v>4911.6899999999996</v>
      </c>
      <c r="X132" s="18"/>
      <c r="Y132" s="11"/>
    </row>
    <row r="133" spans="1:25" ht="15" thickBot="1">
      <c r="A133" s="4" t="s">
        <v>92</v>
      </c>
      <c r="B133" s="5" t="s">
        <v>58</v>
      </c>
      <c r="C133" s="5" t="s">
        <v>42</v>
      </c>
      <c r="D133" s="5" t="s">
        <v>22</v>
      </c>
      <c r="E133" s="6">
        <v>1150.28</v>
      </c>
      <c r="F133" s="6">
        <v>8</v>
      </c>
      <c r="G133" s="6">
        <v>0.05</v>
      </c>
      <c r="H133" s="7">
        <v>45622</v>
      </c>
      <c r="I133" s="8">
        <v>437.11</v>
      </c>
      <c r="J133" s="6" t="str">
        <f t="shared" si="5"/>
        <v>November</v>
      </c>
      <c r="N133">
        <f t="shared" si="4"/>
        <v>5764.03</v>
      </c>
      <c r="X133" s="18"/>
      <c r="Y133" s="11"/>
    </row>
    <row r="134" spans="1:25" ht="15" thickBot="1">
      <c r="A134" s="4" t="s">
        <v>70</v>
      </c>
      <c r="B134" s="5" t="s">
        <v>31</v>
      </c>
      <c r="C134" s="5" t="s">
        <v>44</v>
      </c>
      <c r="D134" s="5" t="s">
        <v>34</v>
      </c>
      <c r="E134" s="6">
        <v>853.86</v>
      </c>
      <c r="F134" s="6">
        <v>8</v>
      </c>
      <c r="G134" s="6">
        <v>0.1</v>
      </c>
      <c r="H134" s="7">
        <v>45622</v>
      </c>
      <c r="I134" s="8">
        <v>268.97000000000003</v>
      </c>
      <c r="J134" s="6" t="str">
        <f t="shared" si="5"/>
        <v>November</v>
      </c>
      <c r="N134">
        <f t="shared" ref="N134:N197" si="6">(E133*F133)-(E133*F133*G133*100%)</f>
        <v>8742.1280000000006</v>
      </c>
      <c r="X134" s="18"/>
      <c r="Y134" s="11"/>
    </row>
    <row r="135" spans="1:25" ht="15" thickBot="1">
      <c r="A135" s="4" t="s">
        <v>103</v>
      </c>
      <c r="B135" s="5" t="s">
        <v>82</v>
      </c>
      <c r="C135" s="5" t="s">
        <v>44</v>
      </c>
      <c r="D135" s="5" t="s">
        <v>33</v>
      </c>
      <c r="E135" s="6">
        <v>1061.04</v>
      </c>
      <c r="F135" s="6">
        <v>1</v>
      </c>
      <c r="G135" s="6">
        <v>0</v>
      </c>
      <c r="H135" s="7">
        <v>45624</v>
      </c>
      <c r="I135" s="8">
        <v>265.26</v>
      </c>
      <c r="J135" s="6" t="str">
        <f t="shared" si="5"/>
        <v>November</v>
      </c>
      <c r="N135">
        <f t="shared" si="6"/>
        <v>6147.7920000000004</v>
      </c>
      <c r="X135" s="18"/>
      <c r="Y135" s="11"/>
    </row>
    <row r="136" spans="1:25" ht="15" thickBot="1">
      <c r="A136" s="4" t="s">
        <v>56</v>
      </c>
      <c r="B136" s="5" t="s">
        <v>79</v>
      </c>
      <c r="C136" s="5" t="s">
        <v>21</v>
      </c>
      <c r="D136" s="5" t="s">
        <v>33</v>
      </c>
      <c r="E136" s="6">
        <v>894.55</v>
      </c>
      <c r="F136" s="6">
        <v>19</v>
      </c>
      <c r="G136" s="6">
        <v>0.2</v>
      </c>
      <c r="H136" s="7">
        <v>45625</v>
      </c>
      <c r="I136" s="8">
        <v>178.91</v>
      </c>
      <c r="J136" s="6" t="str">
        <f t="shared" si="5"/>
        <v>November</v>
      </c>
      <c r="N136">
        <f t="shared" si="6"/>
        <v>1061.04</v>
      </c>
      <c r="X136" s="18"/>
      <c r="Y136" s="11"/>
    </row>
    <row r="137" spans="1:25" ht="15" thickBot="1">
      <c r="A137" s="4" t="s">
        <v>52</v>
      </c>
      <c r="B137" s="5" t="s">
        <v>58</v>
      </c>
      <c r="C137" s="5" t="s">
        <v>49</v>
      </c>
      <c r="D137" s="5" t="s">
        <v>35</v>
      </c>
      <c r="E137" s="6">
        <v>833.91</v>
      </c>
      <c r="F137" s="6">
        <v>3</v>
      </c>
      <c r="G137" s="6">
        <v>0.05</v>
      </c>
      <c r="H137" s="7">
        <v>45626</v>
      </c>
      <c r="I137" s="8">
        <v>356.5</v>
      </c>
      <c r="J137" s="6" t="str">
        <f t="shared" si="5"/>
        <v>November</v>
      </c>
      <c r="N137">
        <f t="shared" si="6"/>
        <v>13597.16</v>
      </c>
      <c r="X137" s="18"/>
      <c r="Y137" s="11"/>
    </row>
    <row r="138" spans="1:25" ht="15" thickBot="1">
      <c r="A138" s="4" t="s">
        <v>93</v>
      </c>
      <c r="B138" s="5" t="s">
        <v>31</v>
      </c>
      <c r="C138" s="5" t="s">
        <v>21</v>
      </c>
      <c r="D138" s="5" t="s">
        <v>34</v>
      </c>
      <c r="E138" s="6">
        <v>820.19</v>
      </c>
      <c r="F138" s="6">
        <v>4</v>
      </c>
      <c r="G138" s="6">
        <v>0.2</v>
      </c>
      <c r="H138" s="7">
        <v>45630</v>
      </c>
      <c r="I138" s="8">
        <v>229.65</v>
      </c>
      <c r="J138" s="6" t="str">
        <f t="shared" si="5"/>
        <v>December</v>
      </c>
      <c r="N138">
        <f t="shared" si="6"/>
        <v>2376.6435000000001</v>
      </c>
      <c r="X138" s="18"/>
      <c r="Y138" s="11"/>
    </row>
    <row r="139" spans="1:25" ht="15" thickBot="1">
      <c r="A139" s="4" t="s">
        <v>93</v>
      </c>
      <c r="B139" s="5" t="s">
        <v>58</v>
      </c>
      <c r="C139" s="5" t="s">
        <v>42</v>
      </c>
      <c r="D139" s="5" t="s">
        <v>33</v>
      </c>
      <c r="E139" s="6">
        <v>511.74</v>
      </c>
      <c r="F139" s="6">
        <v>8</v>
      </c>
      <c r="G139" s="6">
        <v>0.05</v>
      </c>
      <c r="H139" s="7">
        <v>45631</v>
      </c>
      <c r="I139" s="8">
        <v>121.54</v>
      </c>
      <c r="J139" s="6" t="str">
        <f t="shared" si="5"/>
        <v>December</v>
      </c>
      <c r="N139">
        <f t="shared" si="6"/>
        <v>2624.6080000000002</v>
      </c>
      <c r="X139" s="18"/>
      <c r="Y139" s="11"/>
    </row>
    <row r="140" spans="1:25" ht="15" thickBot="1">
      <c r="A140" s="4" t="s">
        <v>96</v>
      </c>
      <c r="B140" s="5" t="s">
        <v>66</v>
      </c>
      <c r="C140" s="5" t="s">
        <v>44</v>
      </c>
      <c r="D140" s="5" t="s">
        <v>34</v>
      </c>
      <c r="E140" s="6">
        <v>806.03</v>
      </c>
      <c r="F140" s="6">
        <v>19</v>
      </c>
      <c r="G140" s="6">
        <v>0.05</v>
      </c>
      <c r="H140" s="7">
        <v>45638</v>
      </c>
      <c r="I140" s="8">
        <v>268</v>
      </c>
      <c r="J140" s="6" t="str">
        <f t="shared" si="5"/>
        <v>December</v>
      </c>
      <c r="N140">
        <f t="shared" si="6"/>
        <v>3889.2240000000002</v>
      </c>
      <c r="X140" s="18"/>
      <c r="Y140" s="11"/>
    </row>
    <row r="141" spans="1:25" ht="15" thickBot="1">
      <c r="A141" s="4" t="s">
        <v>56</v>
      </c>
      <c r="B141" s="5" t="s">
        <v>53</v>
      </c>
      <c r="C141" s="5" t="s">
        <v>42</v>
      </c>
      <c r="D141" s="5" t="s">
        <v>34</v>
      </c>
      <c r="E141" s="6">
        <v>1432.47</v>
      </c>
      <c r="F141" s="6">
        <v>16</v>
      </c>
      <c r="G141" s="6">
        <v>0.15</v>
      </c>
      <c r="H141" s="7">
        <v>45640</v>
      </c>
      <c r="I141" s="8">
        <v>426.16</v>
      </c>
      <c r="J141" s="6" t="str">
        <f t="shared" si="5"/>
        <v>December</v>
      </c>
      <c r="N141">
        <f t="shared" si="6"/>
        <v>14548.8415</v>
      </c>
      <c r="X141" s="18"/>
      <c r="Y141" s="11"/>
    </row>
    <row r="142" spans="1:25" ht="15" thickBot="1">
      <c r="A142" s="4" t="s">
        <v>102</v>
      </c>
      <c r="B142" s="5" t="s">
        <v>57</v>
      </c>
      <c r="C142" s="5" t="s">
        <v>42</v>
      </c>
      <c r="D142" s="5" t="s">
        <v>33</v>
      </c>
      <c r="E142" s="6">
        <v>1488.58</v>
      </c>
      <c r="F142" s="6">
        <v>10</v>
      </c>
      <c r="G142" s="6">
        <v>0.15</v>
      </c>
      <c r="H142" s="7">
        <v>45640</v>
      </c>
      <c r="I142" s="8">
        <v>316.32</v>
      </c>
      <c r="J142" s="6" t="str">
        <f t="shared" si="5"/>
        <v>December</v>
      </c>
      <c r="N142">
        <f t="shared" si="6"/>
        <v>19481.592000000001</v>
      </c>
      <c r="X142" s="18"/>
      <c r="Y142" s="11"/>
    </row>
    <row r="143" spans="1:25" ht="15" thickBot="1">
      <c r="A143" s="4" t="s">
        <v>60</v>
      </c>
      <c r="B143" s="5" t="s">
        <v>62</v>
      </c>
      <c r="C143" s="5" t="s">
        <v>39</v>
      </c>
      <c r="D143" s="5" t="s">
        <v>22</v>
      </c>
      <c r="E143" s="6">
        <v>1231.26</v>
      </c>
      <c r="F143" s="6">
        <v>9</v>
      </c>
      <c r="G143" s="6">
        <v>0</v>
      </c>
      <c r="H143" s="7">
        <v>45646</v>
      </c>
      <c r="I143" s="8">
        <v>492.5</v>
      </c>
      <c r="J143" s="6" t="str">
        <f t="shared" si="5"/>
        <v>December</v>
      </c>
      <c r="N143">
        <f t="shared" si="6"/>
        <v>12652.93</v>
      </c>
      <c r="X143" s="18"/>
      <c r="Y143" s="11"/>
    </row>
    <row r="144" spans="1:25" ht="15" thickBot="1">
      <c r="A144" s="4" t="s">
        <v>60</v>
      </c>
      <c r="B144" s="5" t="s">
        <v>79</v>
      </c>
      <c r="C144" s="5" t="s">
        <v>21</v>
      </c>
      <c r="D144" s="5" t="s">
        <v>33</v>
      </c>
      <c r="E144" s="6">
        <v>1161.67</v>
      </c>
      <c r="F144" s="6">
        <v>19</v>
      </c>
      <c r="G144" s="6">
        <v>0.2</v>
      </c>
      <c r="H144" s="7">
        <v>45647</v>
      </c>
      <c r="I144" s="8">
        <v>232.33</v>
      </c>
      <c r="J144" s="6" t="str">
        <f t="shared" si="5"/>
        <v>December</v>
      </c>
      <c r="N144">
        <f t="shared" si="6"/>
        <v>11081.34</v>
      </c>
      <c r="X144" s="18"/>
      <c r="Y144" s="11"/>
    </row>
    <row r="145" spans="1:25" ht="15" thickBot="1">
      <c r="A145" s="4" t="s">
        <v>87</v>
      </c>
      <c r="B145" s="5" t="s">
        <v>82</v>
      </c>
      <c r="C145" s="5" t="s">
        <v>42</v>
      </c>
      <c r="D145" s="5" t="s">
        <v>35</v>
      </c>
      <c r="E145" s="6">
        <v>388.23</v>
      </c>
      <c r="F145" s="6">
        <v>16</v>
      </c>
      <c r="G145" s="6">
        <v>0.05</v>
      </c>
      <c r="H145" s="7">
        <v>45650</v>
      </c>
      <c r="I145" s="8">
        <v>165.97</v>
      </c>
      <c r="J145" s="6" t="str">
        <f t="shared" si="5"/>
        <v>December</v>
      </c>
      <c r="N145">
        <f t="shared" si="6"/>
        <v>17657.384000000002</v>
      </c>
      <c r="X145" s="18"/>
      <c r="Y145" s="11"/>
    </row>
    <row r="146" spans="1:25" ht="15" thickBot="1">
      <c r="A146" s="4" t="s">
        <v>100</v>
      </c>
      <c r="B146" s="5" t="s">
        <v>61</v>
      </c>
      <c r="C146" s="5" t="s">
        <v>49</v>
      </c>
      <c r="D146" s="5" t="s">
        <v>30</v>
      </c>
      <c r="E146" s="6">
        <v>1589.42</v>
      </c>
      <c r="F146" s="6">
        <v>6</v>
      </c>
      <c r="G146" s="6">
        <v>0.15</v>
      </c>
      <c r="H146" s="7">
        <v>45651</v>
      </c>
      <c r="I146" s="8">
        <v>675.5</v>
      </c>
      <c r="J146" s="6" t="str">
        <f t="shared" si="5"/>
        <v>December</v>
      </c>
      <c r="N146">
        <f t="shared" si="6"/>
        <v>5901.0960000000005</v>
      </c>
      <c r="X146" s="18"/>
      <c r="Y146" s="11"/>
    </row>
    <row r="147" spans="1:25" ht="15" thickBot="1">
      <c r="A147" s="4" t="s">
        <v>56</v>
      </c>
      <c r="B147" s="5" t="s">
        <v>31</v>
      </c>
      <c r="C147" s="5" t="s">
        <v>49</v>
      </c>
      <c r="D147" s="5" t="s">
        <v>30</v>
      </c>
      <c r="E147" s="6">
        <v>336.66</v>
      </c>
      <c r="F147" s="6">
        <v>13</v>
      </c>
      <c r="G147" s="6">
        <v>0.2</v>
      </c>
      <c r="H147" s="7">
        <v>45651</v>
      </c>
      <c r="I147" s="8">
        <v>134.66</v>
      </c>
      <c r="J147" s="6" t="str">
        <f t="shared" si="5"/>
        <v>December</v>
      </c>
      <c r="N147">
        <f t="shared" si="6"/>
        <v>8106.0420000000004</v>
      </c>
      <c r="X147" s="18"/>
      <c r="Y147" s="11"/>
    </row>
    <row r="148" spans="1:25" ht="15" thickBot="1">
      <c r="A148" s="4" t="s">
        <v>87</v>
      </c>
      <c r="B148" s="5" t="s">
        <v>47</v>
      </c>
      <c r="C148" s="5" t="s">
        <v>21</v>
      </c>
      <c r="D148" s="5" t="s">
        <v>22</v>
      </c>
      <c r="E148" s="6">
        <v>1353.79</v>
      </c>
      <c r="F148" s="6">
        <v>14</v>
      </c>
      <c r="G148" s="6">
        <v>0.1</v>
      </c>
      <c r="H148" s="7">
        <v>45656</v>
      </c>
      <c r="I148" s="8">
        <v>487.36</v>
      </c>
      <c r="J148" s="6" t="str">
        <f t="shared" si="5"/>
        <v>December</v>
      </c>
      <c r="N148">
        <f t="shared" si="6"/>
        <v>3501.2640000000001</v>
      </c>
      <c r="X148" s="18"/>
      <c r="Y148" s="11"/>
    </row>
    <row r="149" spans="1:25" ht="15" thickBot="1">
      <c r="A149" s="4" t="s">
        <v>95</v>
      </c>
      <c r="B149" s="5" t="s">
        <v>81</v>
      </c>
      <c r="C149" s="5" t="s">
        <v>42</v>
      </c>
      <c r="D149" s="5" t="s">
        <v>30</v>
      </c>
      <c r="E149" s="6">
        <v>662.61</v>
      </c>
      <c r="F149" s="6">
        <v>11</v>
      </c>
      <c r="G149" s="6">
        <v>0.05</v>
      </c>
      <c r="H149" s="7">
        <v>45658</v>
      </c>
      <c r="I149" s="8">
        <v>314.74</v>
      </c>
      <c r="J149" s="6" t="str">
        <f t="shared" si="5"/>
        <v>January</v>
      </c>
      <c r="N149">
        <f t="shared" si="6"/>
        <v>17057.753999999997</v>
      </c>
      <c r="X149" s="18"/>
      <c r="Y149" s="11"/>
    </row>
    <row r="150" spans="1:25" ht="15" thickBot="1">
      <c r="A150" s="4" t="s">
        <v>90</v>
      </c>
      <c r="B150" s="5" t="s">
        <v>86</v>
      </c>
      <c r="C150" s="5" t="s">
        <v>49</v>
      </c>
      <c r="D150" s="5" t="s">
        <v>35</v>
      </c>
      <c r="E150" s="6">
        <v>309.42</v>
      </c>
      <c r="F150" s="6">
        <v>1</v>
      </c>
      <c r="G150" s="6">
        <v>0.2</v>
      </c>
      <c r="H150" s="7">
        <v>45658</v>
      </c>
      <c r="I150" s="8">
        <v>111.39</v>
      </c>
      <c r="J150" s="6" t="str">
        <f t="shared" si="5"/>
        <v>January</v>
      </c>
      <c r="N150">
        <f t="shared" si="6"/>
        <v>6924.2744999999995</v>
      </c>
      <c r="X150" s="18"/>
      <c r="Y150" s="11"/>
    </row>
    <row r="151" spans="1:25" ht="15" thickBot="1">
      <c r="A151" s="4" t="s">
        <v>95</v>
      </c>
      <c r="B151" s="5" t="s">
        <v>57</v>
      </c>
      <c r="C151" s="5" t="s">
        <v>49</v>
      </c>
      <c r="D151" s="5" t="s">
        <v>22</v>
      </c>
      <c r="E151" s="6">
        <v>884.63</v>
      </c>
      <c r="F151" s="6">
        <v>18</v>
      </c>
      <c r="G151" s="6">
        <v>0.1</v>
      </c>
      <c r="H151" s="7">
        <v>45659</v>
      </c>
      <c r="I151" s="8">
        <v>318.47000000000003</v>
      </c>
      <c r="J151" s="6" t="str">
        <f t="shared" si="5"/>
        <v>January</v>
      </c>
      <c r="N151">
        <f t="shared" si="6"/>
        <v>247.536</v>
      </c>
      <c r="X151" s="18"/>
      <c r="Y151" s="11"/>
    </row>
    <row r="152" spans="1:25" ht="15" thickBot="1">
      <c r="A152" s="4" t="s">
        <v>90</v>
      </c>
      <c r="B152" s="5" t="s">
        <v>47</v>
      </c>
      <c r="C152" s="5" t="s">
        <v>42</v>
      </c>
      <c r="D152" s="5" t="s">
        <v>35</v>
      </c>
      <c r="E152" s="6">
        <v>745.05</v>
      </c>
      <c r="F152" s="6">
        <v>10</v>
      </c>
      <c r="G152" s="6">
        <v>0.1</v>
      </c>
      <c r="H152" s="7">
        <v>45660</v>
      </c>
      <c r="I152" s="8">
        <v>301.75</v>
      </c>
      <c r="J152" s="6" t="str">
        <f t="shared" si="5"/>
        <v>January</v>
      </c>
      <c r="N152">
        <f t="shared" si="6"/>
        <v>14331.005999999999</v>
      </c>
    </row>
    <row r="153" spans="1:25" ht="15" thickBot="1">
      <c r="A153" s="4" t="s">
        <v>94</v>
      </c>
      <c r="B153" s="5" t="s">
        <v>38</v>
      </c>
      <c r="C153" s="5" t="s">
        <v>44</v>
      </c>
      <c r="D153" s="5" t="s">
        <v>30</v>
      </c>
      <c r="E153" s="6">
        <v>870.23</v>
      </c>
      <c r="F153" s="6">
        <v>5</v>
      </c>
      <c r="G153" s="6">
        <v>0.05</v>
      </c>
      <c r="H153" s="7">
        <v>45660</v>
      </c>
      <c r="I153" s="8">
        <v>413.36</v>
      </c>
      <c r="J153" s="6" t="str">
        <f t="shared" si="5"/>
        <v>January</v>
      </c>
      <c r="N153">
        <f t="shared" si="6"/>
        <v>6705.45</v>
      </c>
    </row>
    <row r="154" spans="1:25" ht="15" thickBot="1">
      <c r="A154" s="4" t="s">
        <v>68</v>
      </c>
      <c r="B154" s="5" t="s">
        <v>57</v>
      </c>
      <c r="C154" s="5" t="s">
        <v>21</v>
      </c>
      <c r="D154" s="5" t="s">
        <v>34</v>
      </c>
      <c r="E154" s="6">
        <v>862.19</v>
      </c>
      <c r="F154" s="6">
        <v>18</v>
      </c>
      <c r="G154" s="6">
        <v>0.05</v>
      </c>
      <c r="H154" s="7">
        <v>45663</v>
      </c>
      <c r="I154" s="8">
        <v>286.68</v>
      </c>
      <c r="J154" s="6" t="str">
        <f t="shared" si="5"/>
        <v>January</v>
      </c>
      <c r="N154">
        <f t="shared" si="6"/>
        <v>4133.5924999999997</v>
      </c>
    </row>
    <row r="155" spans="1:25" ht="15" thickBot="1">
      <c r="A155" s="4" t="s">
        <v>101</v>
      </c>
      <c r="B155" s="5" t="s">
        <v>88</v>
      </c>
      <c r="C155" s="5" t="s">
        <v>49</v>
      </c>
      <c r="D155" s="5" t="s">
        <v>30</v>
      </c>
      <c r="E155" s="6">
        <v>1171.18</v>
      </c>
      <c r="F155" s="6">
        <v>19</v>
      </c>
      <c r="G155" s="6">
        <v>0.05</v>
      </c>
      <c r="H155" s="7">
        <v>45667</v>
      </c>
      <c r="I155" s="8">
        <v>556.30999999999995</v>
      </c>
      <c r="J155" s="6" t="str">
        <f t="shared" si="5"/>
        <v>January</v>
      </c>
      <c r="N155">
        <f t="shared" si="6"/>
        <v>14743.449000000002</v>
      </c>
    </row>
    <row r="156" spans="1:25" ht="15" thickBot="1">
      <c r="A156" s="4" t="s">
        <v>93</v>
      </c>
      <c r="B156" s="5" t="s">
        <v>29</v>
      </c>
      <c r="C156" s="5" t="s">
        <v>44</v>
      </c>
      <c r="D156" s="5" t="s">
        <v>34</v>
      </c>
      <c r="E156" s="6">
        <v>1054.56</v>
      </c>
      <c r="F156" s="6">
        <v>11</v>
      </c>
      <c r="G156" s="6">
        <v>0.1</v>
      </c>
      <c r="H156" s="7">
        <v>45669</v>
      </c>
      <c r="I156" s="8">
        <v>332.19</v>
      </c>
      <c r="J156" s="6" t="str">
        <f t="shared" si="5"/>
        <v>January</v>
      </c>
      <c r="N156">
        <f t="shared" si="6"/>
        <v>21139.799000000003</v>
      </c>
    </row>
    <row r="157" spans="1:25" ht="15" thickBot="1">
      <c r="A157" s="4" t="s">
        <v>93</v>
      </c>
      <c r="B157" s="5" t="s">
        <v>47</v>
      </c>
      <c r="C157" s="5" t="s">
        <v>49</v>
      </c>
      <c r="D157" s="5" t="s">
        <v>33</v>
      </c>
      <c r="E157" s="6">
        <v>1681.21</v>
      </c>
      <c r="F157" s="6">
        <v>5</v>
      </c>
      <c r="G157" s="6">
        <v>0.2</v>
      </c>
      <c r="H157" s="7">
        <v>45670</v>
      </c>
      <c r="I157" s="8">
        <v>336.24</v>
      </c>
      <c r="J157" s="6" t="str">
        <f t="shared" si="5"/>
        <v>January</v>
      </c>
      <c r="N157">
        <f t="shared" si="6"/>
        <v>10440.144</v>
      </c>
    </row>
    <row r="158" spans="1:25" ht="15" thickBot="1">
      <c r="A158" s="4" t="s">
        <v>93</v>
      </c>
      <c r="B158" s="5" t="s">
        <v>54</v>
      </c>
      <c r="C158" s="5" t="s">
        <v>21</v>
      </c>
      <c r="D158" s="5" t="s">
        <v>30</v>
      </c>
      <c r="E158" s="6">
        <v>379.77</v>
      </c>
      <c r="F158" s="6">
        <v>9</v>
      </c>
      <c r="G158" s="6">
        <v>0.05</v>
      </c>
      <c r="H158" s="7">
        <v>45673</v>
      </c>
      <c r="I158" s="8">
        <v>180.39</v>
      </c>
      <c r="J158" s="6" t="str">
        <f t="shared" si="5"/>
        <v>January</v>
      </c>
      <c r="N158">
        <f t="shared" si="6"/>
        <v>6724.8399999999992</v>
      </c>
    </row>
    <row r="159" spans="1:25" ht="15" thickBot="1">
      <c r="A159" s="4" t="s">
        <v>80</v>
      </c>
      <c r="B159" s="5" t="s">
        <v>82</v>
      </c>
      <c r="C159" s="5" t="s">
        <v>42</v>
      </c>
      <c r="D159" s="5" t="s">
        <v>30</v>
      </c>
      <c r="E159" s="6">
        <v>1076.33</v>
      </c>
      <c r="F159" s="6">
        <v>2</v>
      </c>
      <c r="G159" s="6">
        <v>0.1</v>
      </c>
      <c r="H159" s="7">
        <v>45674</v>
      </c>
      <c r="I159" s="8">
        <v>484.35</v>
      </c>
      <c r="J159" s="6" t="str">
        <f t="shared" si="5"/>
        <v>January</v>
      </c>
      <c r="N159">
        <f t="shared" si="6"/>
        <v>3247.0335</v>
      </c>
    </row>
    <row r="160" spans="1:25" ht="15" thickBot="1">
      <c r="A160" s="4" t="s">
        <v>80</v>
      </c>
      <c r="B160" s="5" t="s">
        <v>61</v>
      </c>
      <c r="C160" s="5" t="s">
        <v>42</v>
      </c>
      <c r="D160" s="5" t="s">
        <v>35</v>
      </c>
      <c r="E160" s="6">
        <v>1250.71</v>
      </c>
      <c r="F160" s="6">
        <v>7</v>
      </c>
      <c r="G160" s="6">
        <v>0</v>
      </c>
      <c r="H160" s="7">
        <v>45674</v>
      </c>
      <c r="I160" s="8">
        <v>562.82000000000005</v>
      </c>
      <c r="J160" s="6" t="str">
        <f t="shared" si="5"/>
        <v>January</v>
      </c>
      <c r="N160">
        <f t="shared" si="6"/>
        <v>1937.3939999999998</v>
      </c>
    </row>
    <row r="161" spans="1:14" ht="15" thickBot="1">
      <c r="A161" s="4" t="s">
        <v>75</v>
      </c>
      <c r="B161" s="5" t="s">
        <v>38</v>
      </c>
      <c r="C161" s="5" t="s">
        <v>44</v>
      </c>
      <c r="D161" s="5" t="s">
        <v>30</v>
      </c>
      <c r="E161" s="6">
        <v>1118.3399999999999</v>
      </c>
      <c r="F161" s="6">
        <v>6</v>
      </c>
      <c r="G161" s="6">
        <v>0.2</v>
      </c>
      <c r="H161" s="7">
        <v>45674</v>
      </c>
      <c r="I161" s="8">
        <v>447.34</v>
      </c>
      <c r="J161" s="6" t="str">
        <f t="shared" si="5"/>
        <v>January</v>
      </c>
      <c r="N161">
        <f t="shared" si="6"/>
        <v>8754.9700000000012</v>
      </c>
    </row>
    <row r="162" spans="1:14" ht="15" thickBot="1">
      <c r="A162" s="4" t="s">
        <v>99</v>
      </c>
      <c r="B162" s="5" t="s">
        <v>83</v>
      </c>
      <c r="C162" s="5" t="s">
        <v>49</v>
      </c>
      <c r="D162" s="5" t="s">
        <v>30</v>
      </c>
      <c r="E162" s="6">
        <v>1622.62</v>
      </c>
      <c r="F162" s="6">
        <v>12</v>
      </c>
      <c r="G162" s="6">
        <v>0.2</v>
      </c>
      <c r="H162" s="7">
        <v>45677</v>
      </c>
      <c r="I162" s="8">
        <v>649.04999999999995</v>
      </c>
      <c r="J162" s="6" t="str">
        <f t="shared" si="5"/>
        <v>January</v>
      </c>
      <c r="N162">
        <f t="shared" si="6"/>
        <v>5368.0319999999992</v>
      </c>
    </row>
    <row r="163" spans="1:14" ht="15" thickBot="1">
      <c r="A163" s="4" t="s">
        <v>103</v>
      </c>
      <c r="B163" s="5" t="s">
        <v>86</v>
      </c>
      <c r="C163" s="5" t="s">
        <v>49</v>
      </c>
      <c r="D163" s="5" t="s">
        <v>22</v>
      </c>
      <c r="E163" s="6">
        <v>640.64</v>
      </c>
      <c r="F163" s="6">
        <v>11</v>
      </c>
      <c r="G163" s="6">
        <v>0.2</v>
      </c>
      <c r="H163" s="7">
        <v>45678</v>
      </c>
      <c r="I163" s="8">
        <v>205</v>
      </c>
      <c r="J163" s="6" t="str">
        <f t="shared" si="5"/>
        <v>January</v>
      </c>
      <c r="N163">
        <f t="shared" si="6"/>
        <v>15577.151999999998</v>
      </c>
    </row>
    <row r="164" spans="1:14" ht="15" thickBot="1">
      <c r="A164" s="4" t="s">
        <v>48</v>
      </c>
      <c r="B164" s="5" t="s">
        <v>79</v>
      </c>
      <c r="C164" s="5" t="s">
        <v>21</v>
      </c>
      <c r="D164" s="5" t="s">
        <v>30</v>
      </c>
      <c r="E164" s="6">
        <v>585.16</v>
      </c>
      <c r="F164" s="6">
        <v>17</v>
      </c>
      <c r="G164" s="6">
        <v>0.1</v>
      </c>
      <c r="H164" s="7">
        <v>45684</v>
      </c>
      <c r="I164" s="8">
        <v>263.32</v>
      </c>
      <c r="J164" s="6" t="str">
        <f t="shared" si="5"/>
        <v>January</v>
      </c>
      <c r="N164">
        <f t="shared" si="6"/>
        <v>5637.6319999999996</v>
      </c>
    </row>
    <row r="165" spans="1:14" ht="15" thickBot="1">
      <c r="A165" s="4" t="s">
        <v>48</v>
      </c>
      <c r="B165" s="5" t="s">
        <v>61</v>
      </c>
      <c r="C165" s="5" t="s">
        <v>39</v>
      </c>
      <c r="D165" s="5" t="s">
        <v>30</v>
      </c>
      <c r="E165" s="6">
        <v>1109.98</v>
      </c>
      <c r="F165" s="6">
        <v>5</v>
      </c>
      <c r="G165" s="6">
        <v>0.2</v>
      </c>
      <c r="H165" s="7">
        <v>45690</v>
      </c>
      <c r="I165" s="8">
        <v>443.99</v>
      </c>
      <c r="J165" s="6" t="str">
        <f t="shared" si="5"/>
        <v>February</v>
      </c>
      <c r="N165">
        <f t="shared" si="6"/>
        <v>8952.9480000000003</v>
      </c>
    </row>
    <row r="166" spans="1:14" ht="15" thickBot="1">
      <c r="A166" s="4" t="s">
        <v>93</v>
      </c>
      <c r="B166" s="5" t="s">
        <v>82</v>
      </c>
      <c r="C166" s="5" t="s">
        <v>39</v>
      </c>
      <c r="D166" s="5" t="s">
        <v>22</v>
      </c>
      <c r="E166" s="6">
        <v>1098.08</v>
      </c>
      <c r="F166" s="6">
        <v>9</v>
      </c>
      <c r="G166" s="6">
        <v>0.1</v>
      </c>
      <c r="H166" s="7">
        <v>45692</v>
      </c>
      <c r="I166" s="8">
        <v>395.31</v>
      </c>
      <c r="J166" s="6" t="str">
        <f t="shared" si="5"/>
        <v>February</v>
      </c>
      <c r="N166">
        <f t="shared" si="6"/>
        <v>4439.92</v>
      </c>
    </row>
    <row r="167" spans="1:14" ht="15" thickBot="1">
      <c r="A167" s="4" t="s">
        <v>96</v>
      </c>
      <c r="B167" s="5" t="s">
        <v>86</v>
      </c>
      <c r="C167" s="5" t="s">
        <v>21</v>
      </c>
      <c r="D167" s="5" t="s">
        <v>35</v>
      </c>
      <c r="E167" s="6">
        <v>827.25</v>
      </c>
      <c r="F167" s="6">
        <v>7</v>
      </c>
      <c r="G167" s="6">
        <v>0.1</v>
      </c>
      <c r="H167" s="7">
        <v>45693</v>
      </c>
      <c r="I167" s="8">
        <v>335.04</v>
      </c>
      <c r="J167" s="6" t="str">
        <f t="shared" si="5"/>
        <v>February</v>
      </c>
      <c r="N167">
        <f t="shared" si="6"/>
        <v>8894.4480000000003</v>
      </c>
    </row>
    <row r="168" spans="1:14" ht="15" thickBot="1">
      <c r="A168" s="4" t="s">
        <v>99</v>
      </c>
      <c r="B168" s="5" t="s">
        <v>57</v>
      </c>
      <c r="C168" s="5" t="s">
        <v>42</v>
      </c>
      <c r="D168" s="5" t="s">
        <v>30</v>
      </c>
      <c r="E168" s="6">
        <v>741.88</v>
      </c>
      <c r="F168" s="6">
        <v>16</v>
      </c>
      <c r="G168" s="6">
        <v>0.1</v>
      </c>
      <c r="H168" s="7">
        <v>45695</v>
      </c>
      <c r="I168" s="8">
        <v>333.85</v>
      </c>
      <c r="J168" s="6" t="str">
        <f t="shared" si="5"/>
        <v>February</v>
      </c>
      <c r="N168">
        <f t="shared" si="6"/>
        <v>5211.6750000000002</v>
      </c>
    </row>
    <row r="169" spans="1:14" ht="15" thickBot="1">
      <c r="A169" s="4" t="s">
        <v>100</v>
      </c>
      <c r="B169" s="5" t="s">
        <v>20</v>
      </c>
      <c r="C169" s="5" t="s">
        <v>39</v>
      </c>
      <c r="D169" s="5" t="s">
        <v>35</v>
      </c>
      <c r="E169" s="6">
        <v>1311.26</v>
      </c>
      <c r="F169" s="6">
        <v>6</v>
      </c>
      <c r="G169" s="6">
        <v>0.1</v>
      </c>
      <c r="H169" s="7">
        <v>45698</v>
      </c>
      <c r="I169" s="8">
        <v>531.05999999999995</v>
      </c>
      <c r="J169" s="6" t="str">
        <f t="shared" si="5"/>
        <v>February</v>
      </c>
      <c r="N169">
        <f t="shared" si="6"/>
        <v>10683.072</v>
      </c>
    </row>
    <row r="170" spans="1:14" ht="15" thickBot="1">
      <c r="A170" s="4" t="s">
        <v>100</v>
      </c>
      <c r="B170" s="5" t="s">
        <v>61</v>
      </c>
      <c r="C170" s="5" t="s">
        <v>44</v>
      </c>
      <c r="D170" s="5" t="s">
        <v>35</v>
      </c>
      <c r="E170" s="6">
        <v>573.32000000000005</v>
      </c>
      <c r="F170" s="6">
        <v>19</v>
      </c>
      <c r="G170" s="6">
        <v>0.1</v>
      </c>
      <c r="H170" s="7">
        <v>45703</v>
      </c>
      <c r="I170" s="8">
        <v>232.19</v>
      </c>
      <c r="J170" s="6" t="str">
        <f t="shared" si="5"/>
        <v>February</v>
      </c>
      <c r="N170">
        <f t="shared" si="6"/>
        <v>7080.8039999999992</v>
      </c>
    </row>
    <row r="171" spans="1:14" ht="15" thickBot="1">
      <c r="A171" s="4" t="s">
        <v>90</v>
      </c>
      <c r="B171" s="5" t="s">
        <v>47</v>
      </c>
      <c r="C171" s="5" t="s">
        <v>21</v>
      </c>
      <c r="D171" s="5" t="s">
        <v>33</v>
      </c>
      <c r="E171" s="6">
        <v>1115.22</v>
      </c>
      <c r="F171" s="6">
        <v>14</v>
      </c>
      <c r="G171" s="6">
        <v>0.2</v>
      </c>
      <c r="H171" s="7">
        <v>45705</v>
      </c>
      <c r="I171" s="8">
        <v>223.04</v>
      </c>
      <c r="J171" s="6" t="str">
        <f t="shared" si="5"/>
        <v>February</v>
      </c>
      <c r="N171">
        <f t="shared" si="6"/>
        <v>9803.7720000000008</v>
      </c>
    </row>
    <row r="172" spans="1:14" ht="15" thickBot="1">
      <c r="A172" s="4" t="s">
        <v>28</v>
      </c>
      <c r="B172" s="5" t="s">
        <v>82</v>
      </c>
      <c r="C172" s="5" t="s">
        <v>49</v>
      </c>
      <c r="D172" s="5" t="s">
        <v>30</v>
      </c>
      <c r="E172" s="6">
        <v>845.84</v>
      </c>
      <c r="F172" s="6">
        <v>4</v>
      </c>
      <c r="G172" s="6">
        <v>0</v>
      </c>
      <c r="H172" s="7">
        <v>45707</v>
      </c>
      <c r="I172" s="8">
        <v>422.92</v>
      </c>
      <c r="J172" s="6" t="str">
        <f t="shared" si="5"/>
        <v>February</v>
      </c>
      <c r="N172">
        <f t="shared" si="6"/>
        <v>12490.464</v>
      </c>
    </row>
    <row r="173" spans="1:14" ht="15" thickBot="1">
      <c r="A173" s="4" t="s">
        <v>60</v>
      </c>
      <c r="B173" s="5" t="s">
        <v>40</v>
      </c>
      <c r="C173" s="5" t="s">
        <v>21</v>
      </c>
      <c r="D173" s="5" t="s">
        <v>33</v>
      </c>
      <c r="E173" s="6">
        <v>1029.8</v>
      </c>
      <c r="F173" s="6">
        <v>3</v>
      </c>
      <c r="G173" s="6">
        <v>0</v>
      </c>
      <c r="H173" s="7">
        <v>45708</v>
      </c>
      <c r="I173" s="8">
        <v>257.45</v>
      </c>
      <c r="J173" s="6" t="str">
        <f t="shared" si="5"/>
        <v>February</v>
      </c>
      <c r="N173">
        <f t="shared" si="6"/>
        <v>3383.36</v>
      </c>
    </row>
    <row r="174" spans="1:14" ht="15" thickBot="1">
      <c r="A174" s="4" t="s">
        <v>64</v>
      </c>
      <c r="B174" s="5" t="s">
        <v>61</v>
      </c>
      <c r="C174" s="5" t="s">
        <v>49</v>
      </c>
      <c r="D174" s="5" t="s">
        <v>22</v>
      </c>
      <c r="E174" s="6">
        <v>1189.83</v>
      </c>
      <c r="F174" s="6">
        <v>2</v>
      </c>
      <c r="G174" s="6">
        <v>0.2</v>
      </c>
      <c r="H174" s="7">
        <v>45709</v>
      </c>
      <c r="I174" s="8">
        <v>380.75</v>
      </c>
      <c r="J174" s="6" t="str">
        <f t="shared" si="5"/>
        <v>February</v>
      </c>
      <c r="N174">
        <f t="shared" si="6"/>
        <v>3089.3999999999996</v>
      </c>
    </row>
    <row r="175" spans="1:14" ht="15" thickBot="1">
      <c r="A175" s="4" t="s">
        <v>97</v>
      </c>
      <c r="B175" s="5" t="s">
        <v>79</v>
      </c>
      <c r="C175" s="5" t="s">
        <v>44</v>
      </c>
      <c r="D175" s="5" t="s">
        <v>22</v>
      </c>
      <c r="E175" s="6">
        <v>704.28</v>
      </c>
      <c r="F175" s="6">
        <v>15</v>
      </c>
      <c r="G175" s="6">
        <v>0.2</v>
      </c>
      <c r="H175" s="7">
        <v>45712</v>
      </c>
      <c r="I175" s="8">
        <v>225.37</v>
      </c>
      <c r="J175" s="6" t="str">
        <f t="shared" si="5"/>
        <v>February</v>
      </c>
      <c r="N175">
        <f t="shared" si="6"/>
        <v>1903.7279999999998</v>
      </c>
    </row>
    <row r="176" spans="1:14" ht="15" thickBot="1">
      <c r="A176" s="4" t="s">
        <v>96</v>
      </c>
      <c r="B176" s="5" t="s">
        <v>85</v>
      </c>
      <c r="C176" s="5" t="s">
        <v>42</v>
      </c>
      <c r="D176" s="5" t="s">
        <v>35</v>
      </c>
      <c r="E176" s="6">
        <v>1618.22</v>
      </c>
      <c r="F176" s="6">
        <v>12</v>
      </c>
      <c r="G176" s="6">
        <v>0.2</v>
      </c>
      <c r="H176" s="7">
        <v>45712</v>
      </c>
      <c r="I176" s="8">
        <v>582.55999999999995</v>
      </c>
      <c r="J176" s="6" t="str">
        <f t="shared" si="5"/>
        <v>February</v>
      </c>
      <c r="N176">
        <f t="shared" si="6"/>
        <v>8451.3599999999988</v>
      </c>
    </row>
    <row r="177" spans="1:14" ht="15" thickBot="1">
      <c r="A177" s="4" t="s">
        <v>101</v>
      </c>
      <c r="B177" s="5" t="s">
        <v>83</v>
      </c>
      <c r="C177" s="5" t="s">
        <v>42</v>
      </c>
      <c r="D177" s="5" t="s">
        <v>22</v>
      </c>
      <c r="E177" s="6">
        <v>1014.43</v>
      </c>
      <c r="F177" s="6">
        <v>2</v>
      </c>
      <c r="G177" s="6">
        <v>0.15</v>
      </c>
      <c r="H177" s="7">
        <v>45713</v>
      </c>
      <c r="I177" s="8">
        <v>344.91</v>
      </c>
      <c r="J177" s="6" t="str">
        <f t="shared" si="5"/>
        <v>February</v>
      </c>
      <c r="N177">
        <f t="shared" si="6"/>
        <v>15534.912</v>
      </c>
    </row>
    <row r="178" spans="1:14" ht="15" thickBot="1">
      <c r="A178" s="4" t="s">
        <v>103</v>
      </c>
      <c r="B178" s="5" t="s">
        <v>61</v>
      </c>
      <c r="C178" s="5" t="s">
        <v>42</v>
      </c>
      <c r="D178" s="5" t="s">
        <v>30</v>
      </c>
      <c r="E178" s="6">
        <v>826.97</v>
      </c>
      <c r="F178" s="6">
        <v>18</v>
      </c>
      <c r="G178" s="6">
        <v>0.2</v>
      </c>
      <c r="H178" s="7">
        <v>45715</v>
      </c>
      <c r="I178" s="8">
        <v>330.79</v>
      </c>
      <c r="J178" s="6" t="str">
        <f t="shared" si="5"/>
        <v>February</v>
      </c>
      <c r="N178">
        <f t="shared" si="6"/>
        <v>1724.5309999999999</v>
      </c>
    </row>
    <row r="179" spans="1:14" ht="15" thickBot="1">
      <c r="A179" s="4" t="s">
        <v>37</v>
      </c>
      <c r="B179" s="5" t="s">
        <v>61</v>
      </c>
      <c r="C179" s="5" t="s">
        <v>42</v>
      </c>
      <c r="D179" s="5" t="s">
        <v>30</v>
      </c>
      <c r="E179" s="6">
        <v>1022.23</v>
      </c>
      <c r="F179" s="6">
        <v>8</v>
      </c>
      <c r="G179" s="6">
        <v>0.1</v>
      </c>
      <c r="H179" s="7">
        <v>45717</v>
      </c>
      <c r="I179" s="8">
        <v>460</v>
      </c>
      <c r="J179" s="6" t="str">
        <f t="shared" si="5"/>
        <v>March</v>
      </c>
      <c r="N179">
        <f t="shared" si="6"/>
        <v>11908.368</v>
      </c>
    </row>
    <row r="180" spans="1:14" ht="15" thickBot="1">
      <c r="A180" s="4" t="s">
        <v>100</v>
      </c>
      <c r="B180" s="5" t="s">
        <v>57</v>
      </c>
      <c r="C180" s="5" t="s">
        <v>39</v>
      </c>
      <c r="D180" s="5" t="s">
        <v>22</v>
      </c>
      <c r="E180" s="6">
        <v>1099.69</v>
      </c>
      <c r="F180" s="6">
        <v>6</v>
      </c>
      <c r="G180" s="6">
        <v>0</v>
      </c>
      <c r="H180" s="7">
        <v>45718</v>
      </c>
      <c r="I180" s="8">
        <v>439.88</v>
      </c>
      <c r="J180" s="6" t="str">
        <f t="shared" si="5"/>
        <v>March</v>
      </c>
      <c r="N180">
        <f t="shared" si="6"/>
        <v>7360.0560000000005</v>
      </c>
    </row>
    <row r="181" spans="1:14" ht="15" thickBot="1">
      <c r="A181" s="4" t="s">
        <v>90</v>
      </c>
      <c r="B181" s="5" t="s">
        <v>89</v>
      </c>
      <c r="C181" s="5" t="s">
        <v>49</v>
      </c>
      <c r="D181" s="5" t="s">
        <v>22</v>
      </c>
      <c r="E181" s="6">
        <v>710.52</v>
      </c>
      <c r="F181" s="6">
        <v>8</v>
      </c>
      <c r="G181" s="6">
        <v>0.1</v>
      </c>
      <c r="H181" s="7">
        <v>45721</v>
      </c>
      <c r="I181" s="8">
        <v>255.79</v>
      </c>
      <c r="J181" s="6" t="str">
        <f t="shared" si="5"/>
        <v>March</v>
      </c>
      <c r="N181">
        <f t="shared" si="6"/>
        <v>6598.14</v>
      </c>
    </row>
    <row r="182" spans="1:14" ht="15" thickBot="1">
      <c r="A182" s="4" t="s">
        <v>90</v>
      </c>
      <c r="B182" s="5" t="s">
        <v>88</v>
      </c>
      <c r="C182" s="5" t="s">
        <v>49</v>
      </c>
      <c r="D182" s="5" t="s">
        <v>22</v>
      </c>
      <c r="E182" s="6">
        <v>499.18</v>
      </c>
      <c r="F182" s="6">
        <v>15</v>
      </c>
      <c r="G182" s="6">
        <v>0.2</v>
      </c>
      <c r="H182" s="7">
        <v>45724</v>
      </c>
      <c r="I182" s="8">
        <v>159.74</v>
      </c>
      <c r="J182" s="6" t="str">
        <f t="shared" si="5"/>
        <v>March</v>
      </c>
      <c r="N182">
        <f t="shared" si="6"/>
        <v>5115.7439999999997</v>
      </c>
    </row>
    <row r="183" spans="1:14" ht="15" thickBot="1">
      <c r="A183" s="4" t="s">
        <v>70</v>
      </c>
      <c r="B183" s="5" t="s">
        <v>58</v>
      </c>
      <c r="C183" s="5" t="s">
        <v>44</v>
      </c>
      <c r="D183" s="5" t="s">
        <v>22</v>
      </c>
      <c r="E183" s="6">
        <v>1064.19</v>
      </c>
      <c r="F183" s="6">
        <v>18</v>
      </c>
      <c r="G183" s="6">
        <v>0.05</v>
      </c>
      <c r="H183" s="7">
        <v>45725</v>
      </c>
      <c r="I183" s="8">
        <v>404.39</v>
      </c>
      <c r="J183" s="6" t="str">
        <f t="shared" si="5"/>
        <v>March</v>
      </c>
      <c r="N183">
        <f t="shared" si="6"/>
        <v>5990.16</v>
      </c>
    </row>
    <row r="184" spans="1:14" ht="15" thickBot="1">
      <c r="A184" s="4" t="s">
        <v>97</v>
      </c>
      <c r="B184" s="5" t="s">
        <v>58</v>
      </c>
      <c r="C184" s="5" t="s">
        <v>39</v>
      </c>
      <c r="D184" s="5" t="s">
        <v>35</v>
      </c>
      <c r="E184" s="6">
        <v>438.76</v>
      </c>
      <c r="F184" s="6">
        <v>18</v>
      </c>
      <c r="G184" s="6">
        <v>0.05</v>
      </c>
      <c r="H184" s="7">
        <v>45726</v>
      </c>
      <c r="I184" s="8">
        <v>187.57</v>
      </c>
      <c r="J184" s="6" t="str">
        <f t="shared" si="5"/>
        <v>March</v>
      </c>
      <c r="N184">
        <f t="shared" si="6"/>
        <v>18197.649000000001</v>
      </c>
    </row>
    <row r="185" spans="1:14" ht="15" thickBot="1">
      <c r="A185" s="4" t="s">
        <v>77</v>
      </c>
      <c r="B185" s="5" t="s">
        <v>40</v>
      </c>
      <c r="C185" s="5" t="s">
        <v>21</v>
      </c>
      <c r="D185" s="5" t="s">
        <v>30</v>
      </c>
      <c r="E185" s="6">
        <v>864.98</v>
      </c>
      <c r="F185" s="6">
        <v>2</v>
      </c>
      <c r="G185" s="6">
        <v>0.05</v>
      </c>
      <c r="H185" s="7">
        <v>45727</v>
      </c>
      <c r="I185" s="8">
        <v>410.87</v>
      </c>
      <c r="J185" s="6" t="str">
        <f t="shared" si="5"/>
        <v>March</v>
      </c>
      <c r="N185">
        <f t="shared" si="6"/>
        <v>7502.7960000000003</v>
      </c>
    </row>
    <row r="186" spans="1:14" ht="15" thickBot="1">
      <c r="A186" s="4" t="s">
        <v>92</v>
      </c>
      <c r="B186" s="5" t="s">
        <v>40</v>
      </c>
      <c r="C186" s="5" t="s">
        <v>21</v>
      </c>
      <c r="D186" s="5" t="s">
        <v>34</v>
      </c>
      <c r="E186" s="6">
        <v>984.93</v>
      </c>
      <c r="F186" s="6">
        <v>14</v>
      </c>
      <c r="G186" s="6">
        <v>0.2</v>
      </c>
      <c r="H186" s="7">
        <v>45733</v>
      </c>
      <c r="I186" s="8">
        <v>275.77999999999997</v>
      </c>
      <c r="J186" s="6" t="str">
        <f t="shared" si="5"/>
        <v>March</v>
      </c>
      <c r="N186">
        <f t="shared" si="6"/>
        <v>1643.462</v>
      </c>
    </row>
    <row r="187" spans="1:14" ht="15" thickBot="1">
      <c r="A187" s="4" t="s">
        <v>52</v>
      </c>
      <c r="B187" s="5" t="s">
        <v>40</v>
      </c>
      <c r="C187" s="5" t="s">
        <v>21</v>
      </c>
      <c r="D187" s="5" t="s">
        <v>30</v>
      </c>
      <c r="E187" s="6">
        <v>1493.49</v>
      </c>
      <c r="F187" s="6">
        <v>18</v>
      </c>
      <c r="G187" s="6">
        <v>0</v>
      </c>
      <c r="H187" s="7">
        <v>45734</v>
      </c>
      <c r="I187" s="8">
        <v>746.74</v>
      </c>
      <c r="J187" s="6" t="str">
        <f t="shared" si="5"/>
        <v>March</v>
      </c>
      <c r="N187">
        <f t="shared" si="6"/>
        <v>11031.215999999999</v>
      </c>
    </row>
    <row r="188" spans="1:14" ht="15" thickBot="1">
      <c r="A188" s="4" t="s">
        <v>64</v>
      </c>
      <c r="B188" s="5" t="s">
        <v>83</v>
      </c>
      <c r="C188" s="5" t="s">
        <v>44</v>
      </c>
      <c r="D188" s="5" t="s">
        <v>30</v>
      </c>
      <c r="E188" s="6">
        <v>689.43</v>
      </c>
      <c r="F188" s="6">
        <v>9</v>
      </c>
      <c r="G188" s="6">
        <v>0.1</v>
      </c>
      <c r="H188" s="7">
        <v>45736</v>
      </c>
      <c r="I188" s="8">
        <v>310.24</v>
      </c>
      <c r="J188" s="6" t="str">
        <f t="shared" si="5"/>
        <v>March</v>
      </c>
      <c r="N188">
        <f t="shared" si="6"/>
        <v>26882.82</v>
      </c>
    </row>
    <row r="189" spans="1:14" ht="15" thickBot="1">
      <c r="A189" s="4" t="s">
        <v>75</v>
      </c>
      <c r="B189" s="5" t="s">
        <v>88</v>
      </c>
      <c r="C189" s="5" t="s">
        <v>44</v>
      </c>
      <c r="D189" s="5" t="s">
        <v>30</v>
      </c>
      <c r="E189" s="6">
        <v>682.24</v>
      </c>
      <c r="F189" s="6">
        <v>1</v>
      </c>
      <c r="G189" s="6">
        <v>0</v>
      </c>
      <c r="H189" s="7">
        <v>45738</v>
      </c>
      <c r="I189" s="8">
        <v>341.12</v>
      </c>
      <c r="J189" s="6" t="str">
        <f t="shared" si="5"/>
        <v>March</v>
      </c>
      <c r="N189">
        <f t="shared" si="6"/>
        <v>5584.3829999999998</v>
      </c>
    </row>
    <row r="190" spans="1:14" ht="15" thickBot="1">
      <c r="A190" s="4" t="s">
        <v>77</v>
      </c>
      <c r="B190" s="5" t="s">
        <v>53</v>
      </c>
      <c r="C190" s="5" t="s">
        <v>49</v>
      </c>
      <c r="D190" s="5" t="s">
        <v>33</v>
      </c>
      <c r="E190" s="6">
        <v>458.54</v>
      </c>
      <c r="F190" s="6">
        <v>15</v>
      </c>
      <c r="G190" s="6">
        <v>0.2</v>
      </c>
      <c r="H190" s="7">
        <v>45741</v>
      </c>
      <c r="I190" s="8">
        <v>91.71</v>
      </c>
      <c r="J190" s="6" t="str">
        <f t="shared" si="5"/>
        <v>March</v>
      </c>
      <c r="N190">
        <f t="shared" si="6"/>
        <v>682.24</v>
      </c>
    </row>
    <row r="191" spans="1:14" ht="15" thickBot="1">
      <c r="A191" s="4" t="s">
        <v>64</v>
      </c>
      <c r="B191" s="5" t="s">
        <v>53</v>
      </c>
      <c r="C191" s="5" t="s">
        <v>44</v>
      </c>
      <c r="D191" s="5" t="s">
        <v>34</v>
      </c>
      <c r="E191" s="6">
        <v>1184.25</v>
      </c>
      <c r="F191" s="6">
        <v>11</v>
      </c>
      <c r="G191" s="6">
        <v>0.2</v>
      </c>
      <c r="H191" s="7">
        <v>45742</v>
      </c>
      <c r="I191" s="8">
        <v>331.59</v>
      </c>
      <c r="J191" s="6" t="str">
        <f t="shared" si="5"/>
        <v>March</v>
      </c>
      <c r="N191">
        <f t="shared" si="6"/>
        <v>5502.4800000000005</v>
      </c>
    </row>
    <row r="192" spans="1:14" ht="15" thickBot="1">
      <c r="A192" s="4" t="s">
        <v>52</v>
      </c>
      <c r="B192" s="5" t="s">
        <v>20</v>
      </c>
      <c r="C192" s="5" t="s">
        <v>44</v>
      </c>
      <c r="D192" s="5" t="s">
        <v>30</v>
      </c>
      <c r="E192" s="6">
        <v>762.14</v>
      </c>
      <c r="F192" s="6">
        <v>9</v>
      </c>
      <c r="G192" s="6">
        <v>0</v>
      </c>
      <c r="H192" s="7">
        <v>45743</v>
      </c>
      <c r="I192" s="8">
        <v>381.07</v>
      </c>
      <c r="J192" s="6" t="str">
        <f t="shared" si="5"/>
        <v>March</v>
      </c>
      <c r="N192">
        <f t="shared" si="6"/>
        <v>10421.4</v>
      </c>
    </row>
    <row r="193" spans="1:24" ht="15" thickBot="1">
      <c r="A193" s="4" t="s">
        <v>48</v>
      </c>
      <c r="B193" s="5" t="s">
        <v>83</v>
      </c>
      <c r="C193" s="5" t="s">
        <v>49</v>
      </c>
      <c r="D193" s="5" t="s">
        <v>22</v>
      </c>
      <c r="E193" s="6">
        <v>750.71</v>
      </c>
      <c r="F193" s="6">
        <v>10</v>
      </c>
      <c r="G193" s="6">
        <v>0.15</v>
      </c>
      <c r="H193" s="7">
        <v>45743</v>
      </c>
      <c r="I193" s="8">
        <v>255.24</v>
      </c>
      <c r="J193" s="6" t="str">
        <f t="shared" si="5"/>
        <v>March</v>
      </c>
      <c r="N193">
        <f t="shared" si="6"/>
        <v>6859.26</v>
      </c>
    </row>
    <row r="194" spans="1:24" ht="15" thickBot="1">
      <c r="A194" s="4" t="s">
        <v>103</v>
      </c>
      <c r="B194" s="5" t="s">
        <v>31</v>
      </c>
      <c r="C194" s="5" t="s">
        <v>42</v>
      </c>
      <c r="D194" s="5" t="s">
        <v>30</v>
      </c>
      <c r="E194" s="6">
        <v>1456.94</v>
      </c>
      <c r="F194" s="6">
        <v>14</v>
      </c>
      <c r="G194" s="6">
        <v>0.05</v>
      </c>
      <c r="H194" s="7">
        <v>45745</v>
      </c>
      <c r="I194" s="8">
        <v>692.05</v>
      </c>
      <c r="J194" s="6" t="str">
        <f t="shared" ref="J194:J201" si="7">TEXT(H194,"MMMM")</f>
        <v>March</v>
      </c>
      <c r="N194">
        <f t="shared" si="6"/>
        <v>6381.0349999999999</v>
      </c>
    </row>
    <row r="195" spans="1:24" ht="15" thickBot="1">
      <c r="A195" s="4" t="s">
        <v>80</v>
      </c>
      <c r="B195" s="5" t="s">
        <v>66</v>
      </c>
      <c r="C195" s="5" t="s">
        <v>39</v>
      </c>
      <c r="D195" s="5" t="s">
        <v>34</v>
      </c>
      <c r="E195" s="6">
        <v>1093.3800000000001</v>
      </c>
      <c r="F195" s="6">
        <v>17</v>
      </c>
      <c r="G195" s="6">
        <v>0.1</v>
      </c>
      <c r="H195" s="7">
        <v>45745</v>
      </c>
      <c r="I195" s="8">
        <v>344.41</v>
      </c>
      <c r="J195" s="6" t="str">
        <f t="shared" si="7"/>
        <v>March</v>
      </c>
      <c r="N195">
        <f t="shared" si="6"/>
        <v>19377.302</v>
      </c>
    </row>
    <row r="196" spans="1:24" ht="15" thickBot="1">
      <c r="A196" s="4" t="s">
        <v>70</v>
      </c>
      <c r="B196" s="5" t="s">
        <v>79</v>
      </c>
      <c r="C196" s="5" t="s">
        <v>21</v>
      </c>
      <c r="D196" s="5" t="s">
        <v>30</v>
      </c>
      <c r="E196" s="6">
        <v>934.27</v>
      </c>
      <c r="F196" s="6">
        <v>8</v>
      </c>
      <c r="G196" s="6">
        <v>0.15</v>
      </c>
      <c r="H196" s="7">
        <v>45746</v>
      </c>
      <c r="I196" s="8">
        <v>397.06</v>
      </c>
      <c r="J196" s="6" t="str">
        <f t="shared" si="7"/>
        <v>March</v>
      </c>
      <c r="N196">
        <f t="shared" si="6"/>
        <v>16728.714000000004</v>
      </c>
    </row>
    <row r="197" spans="1:24" ht="15" thickBot="1">
      <c r="A197" s="4" t="s">
        <v>99</v>
      </c>
      <c r="B197" s="5" t="s">
        <v>54</v>
      </c>
      <c r="C197" s="5" t="s">
        <v>42</v>
      </c>
      <c r="D197" s="5" t="s">
        <v>30</v>
      </c>
      <c r="E197" s="6">
        <v>1465.35</v>
      </c>
      <c r="F197" s="6">
        <v>8</v>
      </c>
      <c r="G197" s="6">
        <v>0.2</v>
      </c>
      <c r="H197" s="7">
        <v>45746</v>
      </c>
      <c r="I197" s="8">
        <v>586.14</v>
      </c>
      <c r="J197" s="6" t="str">
        <f t="shared" si="7"/>
        <v>March</v>
      </c>
      <c r="N197">
        <f t="shared" si="6"/>
        <v>6353.0360000000001</v>
      </c>
    </row>
    <row r="198" spans="1:24" ht="15" thickBot="1">
      <c r="A198" s="4" t="s">
        <v>90</v>
      </c>
      <c r="B198" s="5" t="s">
        <v>29</v>
      </c>
      <c r="C198" s="5" t="s">
        <v>44</v>
      </c>
      <c r="D198" s="5" t="s">
        <v>35</v>
      </c>
      <c r="E198" s="6">
        <v>740.8</v>
      </c>
      <c r="F198" s="6">
        <v>3</v>
      </c>
      <c r="G198" s="6">
        <v>0</v>
      </c>
      <c r="H198" s="7">
        <v>45749</v>
      </c>
      <c r="I198" s="8">
        <v>333.36</v>
      </c>
      <c r="J198" s="6" t="str">
        <f t="shared" si="7"/>
        <v>April</v>
      </c>
      <c r="N198">
        <f t="shared" ref="N198:N201" si="8">(E197*F197)-(E197*F197*G197*100%)</f>
        <v>9378.24</v>
      </c>
    </row>
    <row r="199" spans="1:24" ht="15" thickBot="1">
      <c r="A199" s="4" t="s">
        <v>93</v>
      </c>
      <c r="B199" s="5" t="s">
        <v>79</v>
      </c>
      <c r="C199" s="5" t="s">
        <v>21</v>
      </c>
      <c r="D199" s="5" t="s">
        <v>35</v>
      </c>
      <c r="E199" s="6">
        <v>545.44000000000005</v>
      </c>
      <c r="F199" s="6">
        <v>17</v>
      </c>
      <c r="G199" s="6">
        <v>0</v>
      </c>
      <c r="H199" s="7">
        <v>45752</v>
      </c>
      <c r="I199" s="8">
        <v>245.45</v>
      </c>
      <c r="J199" s="6" t="str">
        <f t="shared" si="7"/>
        <v>April</v>
      </c>
      <c r="N199">
        <f t="shared" si="8"/>
        <v>2222.3999999999996</v>
      </c>
    </row>
    <row r="200" spans="1:24" ht="15" thickBot="1">
      <c r="A200" s="4" t="s">
        <v>68</v>
      </c>
      <c r="B200" s="5" t="s">
        <v>54</v>
      </c>
      <c r="C200" s="5" t="s">
        <v>39</v>
      </c>
      <c r="D200" s="5" t="s">
        <v>22</v>
      </c>
      <c r="E200" s="6">
        <v>997.61</v>
      </c>
      <c r="F200" s="6">
        <v>8</v>
      </c>
      <c r="G200" s="6">
        <v>0.05</v>
      </c>
      <c r="H200" s="7">
        <v>45752</v>
      </c>
      <c r="I200" s="8">
        <v>379.09</v>
      </c>
      <c r="J200" s="6" t="str">
        <f t="shared" si="7"/>
        <v>April</v>
      </c>
      <c r="N200">
        <f t="shared" si="8"/>
        <v>9272.4800000000014</v>
      </c>
    </row>
    <row r="201" spans="1:24">
      <c r="A201" s="19" t="s">
        <v>94</v>
      </c>
      <c r="B201" s="20" t="s">
        <v>54</v>
      </c>
      <c r="C201" s="20" t="s">
        <v>44</v>
      </c>
      <c r="D201" s="20" t="s">
        <v>30</v>
      </c>
      <c r="E201" s="21">
        <v>928.32</v>
      </c>
      <c r="F201" s="21">
        <v>2</v>
      </c>
      <c r="G201" s="21">
        <v>0.05</v>
      </c>
      <c r="H201" s="22">
        <v>45754</v>
      </c>
      <c r="I201" s="23">
        <v>440.95</v>
      </c>
      <c r="J201" s="21" t="str">
        <f t="shared" si="7"/>
        <v>April</v>
      </c>
      <c r="N201">
        <f t="shared" si="8"/>
        <v>7581.8360000000002</v>
      </c>
    </row>
    <row r="202" spans="1:24">
      <c r="N202">
        <f>(E201*F201)-(E201*F201*G201*100%)</f>
        <v>1763.808</v>
      </c>
    </row>
    <row r="205" spans="1:24">
      <c r="X205" s="13"/>
    </row>
    <row r="208" spans="1:24">
      <c r="X208" s="13"/>
    </row>
    <row r="211" spans="24:24">
      <c r="X211" s="13"/>
    </row>
    <row r="214" spans="24:24">
      <c r="X214" s="13"/>
    </row>
    <row r="217" spans="24:24">
      <c r="X217" s="13"/>
    </row>
    <row r="220" spans="24:24">
      <c r="X220" s="13"/>
    </row>
    <row r="223" spans="24:24">
      <c r="X223" s="13"/>
    </row>
    <row r="226" spans="24:24">
      <c r="X226" s="13"/>
    </row>
    <row r="229" spans="24:24">
      <c r="X229" s="13"/>
    </row>
    <row r="232" spans="24:24">
      <c r="X232" s="13"/>
    </row>
    <row r="235" spans="24:24">
      <c r="X235" s="13"/>
    </row>
    <row r="238" spans="24:24">
      <c r="X238" s="13"/>
    </row>
    <row r="241" spans="24:24">
      <c r="X241" s="13"/>
    </row>
  </sheetData>
  <scenarios current="0" show="0">
    <scenario name="abcd" locked="1" count="1" user="DELL" comment="Created by DELL on 26/03/2026">
      <inputCells r="N3" val="68287.01*0.1"/>
    </scenario>
  </scenarios>
  <mergeCells count="18">
    <mergeCell ref="AD1:AE1"/>
    <mergeCell ref="AG1:AM1"/>
    <mergeCell ref="AA2:AB2"/>
    <mergeCell ref="AO1:AZ1"/>
    <mergeCell ref="K1:L1"/>
    <mergeCell ref="N1:P1"/>
    <mergeCell ref="R1:S1"/>
    <mergeCell ref="U1:V1"/>
    <mergeCell ref="X1:Y1"/>
    <mergeCell ref="AA1:AB1"/>
    <mergeCell ref="N2:P2"/>
    <mergeCell ref="R26:W26"/>
    <mergeCell ref="R27:W27"/>
    <mergeCell ref="R19:Y19"/>
    <mergeCell ref="R21:R24"/>
    <mergeCell ref="S21:S24"/>
    <mergeCell ref="W21:W24"/>
    <mergeCell ref="Y21:Y24"/>
  </mergeCells>
  <conditionalFormatting sqref="K2">
    <cfRule type="top10" dxfId="19" priority="5" rank="10"/>
    <cfRule type="top10" dxfId="18" priority="6" rank="10"/>
  </conditionalFormatting>
  <conditionalFormatting sqref="K3:K29">
    <cfRule type="top10" dxfId="17" priority="4" rank="10"/>
  </conditionalFormatting>
  <conditionalFormatting sqref="K2:L29">
    <cfRule type="top10" dxfId="16" priority="3" rank="10"/>
  </conditionalFormatting>
  <conditionalFormatting pivot="1" sqref="Y3:Y14">
    <cfRule type="iconSet" priority="2">
      <iconSet iconSet="3Arrows">
        <cfvo type="percent" val="0"/>
        <cfvo type="percent" val="33"/>
        <cfvo type="percent" val="67"/>
      </iconSet>
    </cfRule>
  </conditionalFormatting>
  <conditionalFormatting sqref="AD4:AE4 AD7:AE31 AD5:AD6">
    <cfRule type="top10" dxfId="15" priority="1" rank="1"/>
  </conditionalFormatting>
  <pageMargins left="0.7" right="0.7" top="0.75" bottom="0.75" header="0.3" footer="0.3"/>
  <drawing r:id="rId5"/>
  <tableParts count="1">
    <tablePart r:id="rId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O25"/>
  <sheetViews>
    <sheetView topLeftCell="F10" workbookViewId="0">
      <selection activeCell="M19" sqref="M19:O24"/>
    </sheetView>
  </sheetViews>
  <sheetFormatPr defaultRowHeight="14.4"/>
  <cols>
    <col min="1" max="1" width="12.5546875" bestFit="1" customWidth="1"/>
    <col min="2" max="2" width="11.6640625" bestFit="1" customWidth="1"/>
    <col min="4" max="4" width="12.5546875" customWidth="1"/>
    <col min="5" max="5" width="11.6640625" bestFit="1" customWidth="1"/>
    <col min="7" max="7" width="18" bestFit="1" customWidth="1"/>
    <col min="8" max="8" width="11.6640625" bestFit="1" customWidth="1"/>
    <col min="10" max="10" width="12.5546875" bestFit="1" customWidth="1"/>
    <col min="11" max="11" width="11.6640625" bestFit="1" customWidth="1"/>
    <col min="13" max="13" width="15.5546875" customWidth="1"/>
    <col min="14" max="14" width="12.109375" customWidth="1"/>
    <col min="15" max="15" width="11.6640625" customWidth="1"/>
  </cols>
  <sheetData>
    <row r="3" spans="1:15">
      <c r="A3" s="24" t="s">
        <v>2</v>
      </c>
      <c r="B3" t="s">
        <v>24</v>
      </c>
      <c r="D3" s="24" t="s">
        <v>104</v>
      </c>
      <c r="E3" t="s">
        <v>24</v>
      </c>
      <c r="G3" s="24" t="s">
        <v>105</v>
      </c>
      <c r="H3" t="s">
        <v>24</v>
      </c>
      <c r="J3" s="24" t="s">
        <v>25</v>
      </c>
      <c r="K3" t="s">
        <v>24</v>
      </c>
      <c r="M3" s="24" t="s">
        <v>25</v>
      </c>
      <c r="N3" t="s">
        <v>24</v>
      </c>
      <c r="O3" t="s">
        <v>107</v>
      </c>
    </row>
    <row r="4" spans="1:15">
      <c r="A4" s="10" t="s">
        <v>42</v>
      </c>
      <c r="B4" s="11">
        <v>43468.33</v>
      </c>
      <c r="D4" s="10" t="s">
        <v>32</v>
      </c>
      <c r="E4" s="11">
        <v>14914.650000000001</v>
      </c>
      <c r="G4" s="10" t="s">
        <v>22</v>
      </c>
      <c r="H4" s="11">
        <v>47002.460000000006</v>
      </c>
      <c r="J4" s="10" t="s">
        <v>42</v>
      </c>
      <c r="K4" s="11">
        <v>43468.33</v>
      </c>
      <c r="M4" s="10" t="s">
        <v>32</v>
      </c>
      <c r="N4" s="11">
        <v>14914.650000000001</v>
      </c>
      <c r="O4" s="11">
        <v>5763.4</v>
      </c>
    </row>
    <row r="5" spans="1:15">
      <c r="A5" s="10" t="s">
        <v>39</v>
      </c>
      <c r="B5" s="11">
        <v>32441.64</v>
      </c>
      <c r="D5" s="10" t="s">
        <v>41</v>
      </c>
      <c r="E5" s="11">
        <v>14006.359999999999</v>
      </c>
      <c r="G5" s="10" t="s">
        <v>30</v>
      </c>
      <c r="H5" s="11">
        <v>41927.589999999989</v>
      </c>
      <c r="J5" s="10" t="s">
        <v>39</v>
      </c>
      <c r="K5" s="11">
        <v>32441.64</v>
      </c>
      <c r="M5" s="10" t="s">
        <v>41</v>
      </c>
      <c r="N5" s="11">
        <v>14006.359999999999</v>
      </c>
      <c r="O5" s="11">
        <v>5039.2299999999996</v>
      </c>
    </row>
    <row r="6" spans="1:15">
      <c r="A6" s="10" t="s">
        <v>49</v>
      </c>
      <c r="B6" s="11">
        <v>34975.42</v>
      </c>
      <c r="D6" s="10" t="s">
        <v>46</v>
      </c>
      <c r="E6" s="11">
        <v>17655.219999999998</v>
      </c>
      <c r="G6" s="10" t="s">
        <v>33</v>
      </c>
      <c r="H6" s="11">
        <v>41044.000000000007</v>
      </c>
      <c r="J6" s="10" t="s">
        <v>49</v>
      </c>
      <c r="K6" s="11">
        <v>34975.42</v>
      </c>
      <c r="M6" s="10" t="s">
        <v>46</v>
      </c>
      <c r="N6" s="11">
        <v>17655.219999999998</v>
      </c>
      <c r="O6" s="11">
        <v>7071.39</v>
      </c>
    </row>
    <row r="7" spans="1:15">
      <c r="A7" s="10" t="s">
        <v>44</v>
      </c>
      <c r="B7" s="11">
        <v>40248.79</v>
      </c>
      <c r="D7" s="10" t="s">
        <v>51</v>
      </c>
      <c r="E7" s="11">
        <v>22242.129999999997</v>
      </c>
      <c r="G7" s="10" t="s">
        <v>34</v>
      </c>
      <c r="H7" s="11">
        <v>36612.89</v>
      </c>
      <c r="J7" s="10" t="s">
        <v>44</v>
      </c>
      <c r="K7" s="11">
        <v>40248.79</v>
      </c>
      <c r="M7" s="10" t="s">
        <v>51</v>
      </c>
      <c r="N7" s="11">
        <v>22242.129999999997</v>
      </c>
      <c r="O7" s="11">
        <v>7642.86</v>
      </c>
    </row>
    <row r="8" spans="1:15">
      <c r="A8" s="10" t="s">
        <v>21</v>
      </c>
      <c r="B8" s="11">
        <v>44083.58</v>
      </c>
      <c r="D8" s="10" t="s">
        <v>55</v>
      </c>
      <c r="E8" s="11">
        <v>18507.339999999997</v>
      </c>
      <c r="G8" s="10" t="s">
        <v>35</v>
      </c>
      <c r="H8" s="11">
        <v>28630.819999999992</v>
      </c>
      <c r="J8" s="10" t="s">
        <v>21</v>
      </c>
      <c r="K8" s="11">
        <v>44083.58</v>
      </c>
      <c r="M8" s="10" t="s">
        <v>55</v>
      </c>
      <c r="N8" s="11">
        <v>18507.339999999997</v>
      </c>
      <c r="O8" s="11">
        <v>6121.3499999999995</v>
      </c>
    </row>
    <row r="9" spans="1:15">
      <c r="A9" s="10" t="s">
        <v>36</v>
      </c>
      <c r="B9" s="11">
        <v>195217.76</v>
      </c>
      <c r="D9" s="10" t="s">
        <v>59</v>
      </c>
      <c r="E9" s="11">
        <v>20187.509999999998</v>
      </c>
      <c r="G9" s="10" t="s">
        <v>36</v>
      </c>
      <c r="H9" s="11">
        <v>195217.76</v>
      </c>
      <c r="J9" s="10" t="s">
        <v>36</v>
      </c>
      <c r="K9" s="11">
        <v>195217.76</v>
      </c>
      <c r="M9" s="10" t="s">
        <v>59</v>
      </c>
      <c r="N9" s="11">
        <v>20187.509999999998</v>
      </c>
      <c r="O9" s="11">
        <v>6918</v>
      </c>
    </row>
    <row r="10" spans="1:15">
      <c r="D10" s="10" t="s">
        <v>63</v>
      </c>
      <c r="E10" s="11">
        <v>11609.039999999999</v>
      </c>
      <c r="M10" s="10" t="s">
        <v>63</v>
      </c>
      <c r="N10" s="11">
        <v>11609.039999999999</v>
      </c>
      <c r="O10" s="11">
        <v>3743.85</v>
      </c>
    </row>
    <row r="11" spans="1:15">
      <c r="D11" s="10" t="s">
        <v>67</v>
      </c>
      <c r="E11" s="11">
        <v>10091.699999999999</v>
      </c>
      <c r="M11" s="10" t="s">
        <v>67</v>
      </c>
      <c r="N11" s="11">
        <v>10091.699999999999</v>
      </c>
      <c r="O11" s="11">
        <v>3302.84</v>
      </c>
    </row>
    <row r="12" spans="1:15">
      <c r="D12" s="10" t="s">
        <v>69</v>
      </c>
      <c r="E12" s="11">
        <v>20533.499999999996</v>
      </c>
      <c r="M12" s="10" t="s">
        <v>69</v>
      </c>
      <c r="N12" s="11">
        <v>20533.499999999996</v>
      </c>
      <c r="O12" s="11">
        <v>7457.5199999999995</v>
      </c>
    </row>
    <row r="13" spans="1:15">
      <c r="D13" s="10" t="s">
        <v>71</v>
      </c>
      <c r="E13" s="11">
        <v>14215.240000000002</v>
      </c>
      <c r="M13" s="10" t="s">
        <v>71</v>
      </c>
      <c r="N13" s="11">
        <v>14215.240000000002</v>
      </c>
      <c r="O13" s="11">
        <v>4861.7</v>
      </c>
    </row>
    <row r="14" spans="1:15">
      <c r="D14" s="10" t="s">
        <v>72</v>
      </c>
      <c r="E14" s="11">
        <v>20135.030000000002</v>
      </c>
      <c r="M14" s="10" t="s">
        <v>72</v>
      </c>
      <c r="N14" s="11">
        <v>20135.030000000002</v>
      </c>
      <c r="O14" s="11">
        <v>6814.8799999999992</v>
      </c>
    </row>
    <row r="15" spans="1:15">
      <c r="D15" s="10" t="s">
        <v>74</v>
      </c>
      <c r="E15" s="11">
        <v>11120.04</v>
      </c>
      <c r="M15" s="10" t="s">
        <v>74</v>
      </c>
      <c r="N15" s="11">
        <v>11120.04</v>
      </c>
      <c r="O15" s="11">
        <v>3549.99</v>
      </c>
    </row>
    <row r="16" spans="1:15">
      <c r="D16" s="10" t="s">
        <v>36</v>
      </c>
      <c r="E16" s="11">
        <v>195217.75999999995</v>
      </c>
      <c r="M16" s="10" t="s">
        <v>36</v>
      </c>
      <c r="N16" s="11">
        <v>195217.75999999995</v>
      </c>
      <c r="O16" s="11">
        <v>68287.009999999995</v>
      </c>
    </row>
    <row r="19" spans="13:15">
      <c r="M19" s="24" t="s">
        <v>25</v>
      </c>
      <c r="N19" t="s">
        <v>107</v>
      </c>
      <c r="O19" t="s">
        <v>24</v>
      </c>
    </row>
    <row r="20" spans="13:15">
      <c r="M20" s="10" t="s">
        <v>22</v>
      </c>
      <c r="N20" s="11">
        <v>16901.630000000005</v>
      </c>
      <c r="O20" s="11">
        <v>47002.460000000006</v>
      </c>
    </row>
    <row r="21" spans="13:15">
      <c r="M21" s="10" t="s">
        <v>30</v>
      </c>
      <c r="N21" s="11">
        <v>18784.490000000002</v>
      </c>
      <c r="O21" s="11">
        <v>41927.589999999989</v>
      </c>
    </row>
    <row r="22" spans="13:15">
      <c r="M22" s="10" t="s">
        <v>33</v>
      </c>
      <c r="N22" s="11">
        <v>9182.1500000000015</v>
      </c>
      <c r="O22" s="11">
        <v>41044.000000000007</v>
      </c>
    </row>
    <row r="23" spans="13:15">
      <c r="M23" s="10" t="s">
        <v>34</v>
      </c>
      <c r="N23" s="11">
        <v>11579.140000000003</v>
      </c>
      <c r="O23" s="11">
        <v>36612.89</v>
      </c>
    </row>
    <row r="24" spans="13:15">
      <c r="M24" s="10" t="s">
        <v>35</v>
      </c>
      <c r="N24" s="11">
        <v>11839.599999999999</v>
      </c>
      <c r="O24" s="11">
        <v>28630.819999999992</v>
      </c>
    </row>
    <row r="25" spans="13:15">
      <c r="M25" s="10" t="s">
        <v>36</v>
      </c>
      <c r="N25" s="11">
        <v>68287.010000000009</v>
      </c>
      <c r="O25" s="11">
        <v>195217.76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3"/>
  <sheetViews>
    <sheetView tabSelected="1" topLeftCell="A7" zoomScaleNormal="100" workbookViewId="0">
      <selection activeCell="N22" sqref="N22"/>
    </sheetView>
  </sheetViews>
  <sheetFormatPr defaultRowHeight="14.4"/>
  <cols>
    <col min="1" max="1" width="10" bestFit="1" customWidth="1"/>
    <col min="2" max="2" width="10.44140625" bestFit="1" customWidth="1"/>
    <col min="3" max="3" width="15.5546875" bestFit="1" customWidth="1"/>
    <col min="4" max="4" width="11.33203125" bestFit="1" customWidth="1"/>
  </cols>
  <sheetData>
    <row r="1" spans="1:24">
      <c r="A1" s="54" t="s">
        <v>106</v>
      </c>
      <c r="B1" s="55"/>
      <c r="C1" s="55"/>
      <c r="D1" s="55"/>
      <c r="E1" s="55"/>
      <c r="F1" s="55"/>
      <c r="G1" s="55"/>
      <c r="H1" s="55"/>
      <c r="I1" s="55"/>
      <c r="J1" s="55"/>
      <c r="K1" s="55"/>
      <c r="L1" s="55"/>
      <c r="M1" s="55"/>
      <c r="N1" s="55"/>
      <c r="O1" s="55"/>
      <c r="P1" s="55"/>
      <c r="Q1" s="55"/>
      <c r="R1" s="55"/>
      <c r="S1" s="55"/>
      <c r="T1" s="55"/>
      <c r="U1" s="55"/>
      <c r="V1" s="55"/>
      <c r="W1" s="55"/>
      <c r="X1" s="55"/>
    </row>
    <row r="2" spans="1:24">
      <c r="A2" s="55"/>
      <c r="B2" s="55"/>
      <c r="C2" s="55"/>
      <c r="D2" s="55"/>
      <c r="E2" s="55"/>
      <c r="F2" s="55"/>
      <c r="G2" s="55"/>
      <c r="H2" s="55"/>
      <c r="I2" s="55"/>
      <c r="J2" s="55"/>
      <c r="K2" s="55"/>
      <c r="L2" s="55"/>
      <c r="M2" s="55"/>
      <c r="N2" s="55"/>
      <c r="O2" s="55"/>
      <c r="P2" s="55"/>
      <c r="Q2" s="55"/>
      <c r="R2" s="55"/>
      <c r="S2" s="55"/>
      <c r="T2" s="55"/>
      <c r="U2" s="55"/>
      <c r="V2" s="55"/>
      <c r="W2" s="55"/>
      <c r="X2" s="55"/>
    </row>
    <row r="3" spans="1:24">
      <c r="A3" s="55"/>
      <c r="B3" s="55"/>
      <c r="C3" s="55"/>
      <c r="D3" s="55"/>
      <c r="E3" s="55"/>
      <c r="F3" s="55"/>
      <c r="G3" s="55"/>
      <c r="H3" s="55"/>
      <c r="I3" s="55"/>
      <c r="J3" s="55"/>
      <c r="K3" s="55"/>
      <c r="L3" s="55"/>
      <c r="M3" s="55"/>
      <c r="N3" s="55"/>
      <c r="O3" s="55"/>
      <c r="P3" s="55"/>
      <c r="Q3" s="55"/>
      <c r="R3" s="55"/>
      <c r="S3" s="55"/>
      <c r="T3" s="55"/>
      <c r="U3" s="55"/>
      <c r="V3" s="55"/>
      <c r="W3" s="55"/>
      <c r="X3" s="55"/>
    </row>
  </sheetData>
  <mergeCells count="1">
    <mergeCell ref="A1:X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2026-03-26T09:32:00Z</dcterms:created>
  <dcterms:modified xsi:type="dcterms:W3CDTF">2026-03-27T17:00:57Z</dcterms:modified>
</cp:coreProperties>
</file>
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ed_&amp;_White\excel_project\Project\"/>
    </mc:Choice>
  </mc:AlternateContent>
  <bookViews>
    <workbookView xWindow="0" yWindow="0" windowWidth="23040" windowHeight="9156" tabRatio="500" firstSheet="4" activeTab="6"/>
  </bookViews>
  <sheets>
    <sheet name="1_Dataset" sheetId="1" r:id="rId1"/>
    <sheet name="2_DataCleaning" sheetId="2" r:id="rId2"/>
    <sheet name="3_PivotTables" sheetId="3" r:id="rId3"/>
    <sheet name="4_AdvancedFormulas" sheetId="4" r:id="rId4"/>
    <sheet name="5_DataVisualization" sheetId="5" r:id="rId5"/>
    <sheet name="6_Dashboard" sheetId="6" r:id="rId6"/>
    <sheet name="7_Documentation" sheetId="9" r:id="rId7"/>
  </sheets>
  <externalReferences>
    <externalReference r:id="rId8"/>
  </externalReferences>
  <definedNames>
    <definedName name="_xlnm._FilterDatabase" localSheetId="0" hidden="1">'1_Dataset'!$A$1:$M$201</definedName>
  </definedNames>
  <calcPr calcId="162913"/>
  <pivotCaches>
    <pivotCache cacheId="0" r:id="rId9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" i="6" l="1"/>
  <c r="O13" i="6"/>
  <c r="N13" i="6"/>
  <c r="P12" i="6"/>
  <c r="O12" i="6"/>
  <c r="N12" i="6"/>
  <c r="G12" i="6"/>
  <c r="F12" i="6"/>
  <c r="P11" i="6"/>
  <c r="O11" i="6"/>
  <c r="N11" i="6"/>
  <c r="K11" i="6"/>
  <c r="J11" i="6"/>
  <c r="G11" i="6"/>
  <c r="F11" i="6"/>
  <c r="C11" i="6"/>
  <c r="B11" i="6"/>
  <c r="P10" i="6"/>
  <c r="O10" i="6"/>
  <c r="N10" i="6"/>
  <c r="K10" i="6"/>
  <c r="J10" i="6"/>
  <c r="G10" i="6"/>
  <c r="F10" i="6"/>
  <c r="C10" i="6"/>
  <c r="B10" i="6"/>
  <c r="P9" i="6"/>
  <c r="O9" i="6"/>
  <c r="N9" i="6"/>
  <c r="K9" i="6"/>
  <c r="J9" i="6"/>
  <c r="G9" i="6"/>
  <c r="F9" i="6"/>
  <c r="C9" i="6"/>
  <c r="B9" i="6"/>
  <c r="M5" i="6"/>
  <c r="J5" i="6"/>
  <c r="G5" i="6"/>
  <c r="D5" i="6"/>
  <c r="A5" i="6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F7" i="5"/>
  <c r="F6" i="5"/>
  <c r="C6" i="5"/>
  <c r="B6" i="5"/>
  <c r="F5" i="5"/>
  <c r="C5" i="5"/>
  <c r="B5" i="5"/>
  <c r="F4" i="5"/>
  <c r="C4" i="5"/>
  <c r="B4" i="5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0" i="4"/>
  <c r="D30" i="4"/>
  <c r="C30" i="4"/>
  <c r="B30" i="4"/>
  <c r="E29" i="4"/>
  <c r="D29" i="4"/>
  <c r="C29" i="4"/>
  <c r="B29" i="4"/>
  <c r="E28" i="4"/>
  <c r="D28" i="4"/>
  <c r="C28" i="4"/>
  <c r="B28" i="4"/>
  <c r="E26" i="4"/>
  <c r="C26" i="4"/>
  <c r="D26" i="4" s="1"/>
  <c r="B26" i="4"/>
  <c r="A26" i="4"/>
  <c r="D25" i="4"/>
  <c r="C25" i="4"/>
  <c r="B25" i="4"/>
  <c r="E25" i="4" s="1"/>
  <c r="A25" i="4"/>
  <c r="E24" i="4"/>
  <c r="C24" i="4"/>
  <c r="D24" i="4" s="1"/>
  <c r="B24" i="4"/>
  <c r="A24" i="4"/>
  <c r="D23" i="4"/>
  <c r="C23" i="4"/>
  <c r="B23" i="4"/>
  <c r="E23" i="4" s="1"/>
  <c r="A23" i="4"/>
  <c r="E22" i="4"/>
  <c r="C22" i="4"/>
  <c r="D22" i="4" s="1"/>
  <c r="B22" i="4"/>
  <c r="A22" i="4"/>
  <c r="D21" i="4"/>
  <c r="C21" i="4"/>
  <c r="B21" i="4"/>
  <c r="E21" i="4" s="1"/>
  <c r="A21" i="4"/>
  <c r="E20" i="4"/>
  <c r="C20" i="4"/>
  <c r="D20" i="4" s="1"/>
  <c r="B20" i="4"/>
  <c r="A20" i="4"/>
  <c r="D19" i="4"/>
  <c r="C19" i="4"/>
  <c r="B19" i="4"/>
  <c r="E19" i="4" s="1"/>
  <c r="A19" i="4"/>
  <c r="B14" i="4"/>
  <c r="B13" i="4"/>
  <c r="B12" i="4"/>
  <c r="B7" i="4"/>
  <c r="B6" i="4"/>
  <c r="B5" i="4"/>
  <c r="B25" i="2"/>
  <c r="B24" i="2"/>
  <c r="B23" i="2"/>
  <c r="B22" i="2"/>
  <c r="B21" i="2"/>
  <c r="B20" i="2"/>
  <c r="B19" i="2"/>
</calcChain>
</file>

<file path=xl/sharedStrings.xml><?xml version="1.0" encoding="utf-8"?>
<sst xmlns="http://schemas.openxmlformats.org/spreadsheetml/2006/main" count="2100" uniqueCount="708">
  <si>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</si>
  <si>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</si>
  <si>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</si>
  <si>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</si>
  <si>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</si>
  <si>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</si>
  <si>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</si>
  <si>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</si>
  <si>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</si>
  <si>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</si>
  <si>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</si>
  <si>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</si>
  <si>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</si>
  <si>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ORD-0001</t>
  </si>
  <si>
    <t>2023-11-24</t>
  </si>
  <si>
    <t>2023-11-26</t>
  </si>
  <si>
    <t>Leo Patel</t>
  </si>
  <si>
    <t>Home Office</t>
  </si>
  <si>
    <t>East</t>
  </si>
  <si>
    <t>Furniture</t>
  </si>
  <si>
    <t>Bookcases</t>
  </si>
  <si>
    <t>Glass Door Cabinet</t>
  </si>
  <si>
    <t>ORD-0002</t>
  </si>
  <si>
    <t>2023-08-05</t>
  </si>
  <si>
    <t>2023-08-07</t>
  </si>
  <si>
    <t>David Brown</t>
  </si>
  <si>
    <t>South</t>
  </si>
  <si>
    <t>Chairs</t>
  </si>
  <si>
    <t>Ergonomic Chair Pro</t>
  </si>
  <si>
    <t>ORD-0003</t>
  </si>
  <si>
    <t>2023-08-18</t>
  </si>
  <si>
    <t>2023-08-24</t>
  </si>
  <si>
    <t>Eva Green</t>
  </si>
  <si>
    <t>Consumer</t>
  </si>
  <si>
    <t>West</t>
  </si>
  <si>
    <t>Technology</t>
  </si>
  <si>
    <t>Phones</t>
  </si>
  <si>
    <t>iPhone 15 Pro</t>
  </si>
  <si>
    <t>ORD-0004</t>
  </si>
  <si>
    <t>2023-02-22</t>
  </si>
  <si>
    <t>2023-02-24</t>
  </si>
  <si>
    <t>Alice Johnson</t>
  </si>
  <si>
    <t>Pixel 8</t>
  </si>
  <si>
    <t>ORD-0005</t>
  </si>
  <si>
    <t>2023-03-05</t>
  </si>
  <si>
    <t>2023-03-10</t>
  </si>
  <si>
    <t>ORD-0006</t>
  </si>
  <si>
    <t>2023-04-27</t>
  </si>
  <si>
    <t>2023-05-01</t>
  </si>
  <si>
    <t>Frank Lee</t>
  </si>
  <si>
    <t>Central</t>
  </si>
  <si>
    <t>Tables</t>
  </si>
  <si>
    <t>Conference Table</t>
  </si>
  <si>
    <t>ORD-0007</t>
  </si>
  <si>
    <t>2023-04-18</t>
  </si>
  <si>
    <t>2023-04-25</t>
  </si>
  <si>
    <t>Carol White</t>
  </si>
  <si>
    <t>Corporate</t>
  </si>
  <si>
    <t>ORD-0008</t>
  </si>
  <si>
    <t>2023-12-01</t>
  </si>
  <si>
    <t>Office Supplies</t>
  </si>
  <si>
    <t>Binders</t>
  </si>
  <si>
    <t>3-Ring Binder</t>
  </si>
  <si>
    <t>ORD-0009</t>
  </si>
  <si>
    <t>2023-04-19</t>
  </si>
  <si>
    <t>Karen Singh</t>
  </si>
  <si>
    <t>Storage</t>
  </si>
  <si>
    <t>Filing Cabinet</t>
  </si>
  <si>
    <t>ORD-0010</t>
  </si>
  <si>
    <t>2023-03-13</t>
  </si>
  <si>
    <t>2023-03-16</t>
  </si>
  <si>
    <t>Grace Kim</t>
  </si>
  <si>
    <t>Labels</t>
  </si>
  <si>
    <t>Address Labels</t>
  </si>
  <si>
    <t>ORD-0011</t>
  </si>
  <si>
    <t>2023-09-18</t>
  </si>
  <si>
    <t>2023-09-23</t>
  </si>
  <si>
    <t>Mesh Task Chair</t>
  </si>
  <si>
    <t>ORD-0012</t>
  </si>
  <si>
    <t>2023-07-15</t>
  </si>
  <si>
    <t>2023-07-21</t>
  </si>
  <si>
    <t>Accessories</t>
  </si>
  <si>
    <t>Keyboard Pro</t>
  </si>
  <si>
    <t>ORD-0013</t>
  </si>
  <si>
    <t>2023-06-24</t>
  </si>
  <si>
    <t>2023-06-26</t>
  </si>
  <si>
    <t>Copiers</t>
  </si>
  <si>
    <t>Brother AIO</t>
  </si>
  <si>
    <t>ORD-0014</t>
  </si>
  <si>
    <t>2023-03-03</t>
  </si>
  <si>
    <t>Isabel Cruz</t>
  </si>
  <si>
    <t>Computers</t>
  </si>
  <si>
    <t>MacBook Air M2</t>
  </si>
  <si>
    <t>ORD-0015</t>
  </si>
  <si>
    <t>2023-01-10</t>
  </si>
  <si>
    <t>2023-01-12</t>
  </si>
  <si>
    <t>Bob Smith</t>
  </si>
  <si>
    <t>USB-C Hub</t>
  </si>
  <si>
    <t>ORD-0016</t>
  </si>
  <si>
    <t>2023-09-30</t>
  </si>
  <si>
    <t>2023-10-03</t>
  </si>
  <si>
    <t>James Wong</t>
  </si>
  <si>
    <t>Furnishings</t>
  </si>
  <si>
    <t>Curtains</t>
  </si>
  <si>
    <t>ORD-0017</t>
  </si>
  <si>
    <t>2023-12-20</t>
  </si>
  <si>
    <t>2023-12-23</t>
  </si>
  <si>
    <t>Henry Park</t>
  </si>
  <si>
    <t>Banker Box</t>
  </si>
  <si>
    <t>ORD-0018</t>
  </si>
  <si>
    <t>2023-02-02</t>
  </si>
  <si>
    <t>2023-02-06</t>
  </si>
  <si>
    <t>Adjustable Standing Desk</t>
  </si>
  <si>
    <t>ORD-0019</t>
  </si>
  <si>
    <t>2023-06-19</t>
  </si>
  <si>
    <t>2023-06-21</t>
  </si>
  <si>
    <t>ORD-0020</t>
  </si>
  <si>
    <t>2023-08-31</t>
  </si>
  <si>
    <t>2023-09-05</t>
  </si>
  <si>
    <t>Executive Leather Chair</t>
  </si>
  <si>
    <t>ORD-0021</t>
  </si>
  <si>
    <t>2023-12-08</t>
  </si>
  <si>
    <t>ORD-0022</t>
  </si>
  <si>
    <t>2023-08-08</t>
  </si>
  <si>
    <t>ORD-0023</t>
  </si>
  <si>
    <t>2023-10-04</t>
  </si>
  <si>
    <t>2023-10-06</t>
  </si>
  <si>
    <t>ORD-0024</t>
  </si>
  <si>
    <t>2023-01-02</t>
  </si>
  <si>
    <t>2023-01-07</t>
  </si>
  <si>
    <t>HP LaserJet Pro</t>
  </si>
  <si>
    <t>ORD-0025</t>
  </si>
  <si>
    <t>2023-01-30</t>
  </si>
  <si>
    <t>2023-02-05</t>
  </si>
  <si>
    <t>ORD-0026</t>
  </si>
  <si>
    <t>2023-09-20</t>
  </si>
  <si>
    <t>ORD-0027</t>
  </si>
  <si>
    <t>2023-02-11</t>
  </si>
  <si>
    <t>2023-02-16</t>
  </si>
  <si>
    <t>Color Dot Labels</t>
  </si>
  <si>
    <t>ORD-0028</t>
  </si>
  <si>
    <t>2023-07-22</t>
  </si>
  <si>
    <t>2023-07-25</t>
  </si>
  <si>
    <t>Drawer Organizer</t>
  </si>
  <si>
    <t>ORD-0029</t>
  </si>
  <si>
    <t>2023-04-20</t>
  </si>
  <si>
    <t>2023-04-26</t>
  </si>
  <si>
    <t>HP Desktop Tower</t>
  </si>
  <si>
    <t>ORD-0030</t>
  </si>
  <si>
    <t>2023-12-07</t>
  </si>
  <si>
    <t>5-Shelf Bookcase</t>
  </si>
  <si>
    <t>ORD-0031</t>
  </si>
  <si>
    <t>2023-05-25</t>
  </si>
  <si>
    <t>2023-05-31</t>
  </si>
  <si>
    <t>ORD-0032</t>
  </si>
  <si>
    <t>2023-01-23</t>
  </si>
  <si>
    <t>2023-01-25</t>
  </si>
  <si>
    <t>ORD-0033</t>
  </si>
  <si>
    <t>2023-01-05</t>
  </si>
  <si>
    <t>ORD-0034</t>
  </si>
  <si>
    <t>2023-07-06</t>
  </si>
  <si>
    <t>2023-07-08</t>
  </si>
  <si>
    <t>Dell Laptop 15</t>
  </si>
  <si>
    <t>ORD-0035</t>
  </si>
  <si>
    <t>2023-03-25</t>
  </si>
  <si>
    <t>2023-03-28</t>
  </si>
  <si>
    <t>Samsung Galaxy S24</t>
  </si>
  <si>
    <t>ORD-0036</t>
  </si>
  <si>
    <t>2023-12-26</t>
  </si>
  <si>
    <t>2023-12-28</t>
  </si>
  <si>
    <t>ORD-0037</t>
  </si>
  <si>
    <t>Portfolio Folder</t>
  </si>
  <si>
    <t>ORD-0038</t>
  </si>
  <si>
    <t>2023-10-02</t>
  </si>
  <si>
    <t>ORD-0039</t>
  </si>
  <si>
    <t>2023-08-11</t>
  </si>
  <si>
    <t>2023-08-15</t>
  </si>
  <si>
    <t>ORD-0040</t>
  </si>
  <si>
    <t>2023-12-29</t>
  </si>
  <si>
    <t>2024-01-03</t>
  </si>
  <si>
    <t>Folding Table</t>
  </si>
  <si>
    <t>ORD-0041</t>
  </si>
  <si>
    <t>2023-06-03</t>
  </si>
  <si>
    <t>2023-06-09</t>
  </si>
  <si>
    <t>ORD-0042</t>
  </si>
  <si>
    <t>2023-03-31</t>
  </si>
  <si>
    <t>2023-04-06</t>
  </si>
  <si>
    <t>ORD-0043</t>
  </si>
  <si>
    <t>2023-08-20</t>
  </si>
  <si>
    <t>ORD-0044</t>
  </si>
  <si>
    <t>2023-05-08</t>
  </si>
  <si>
    <t>ORD-0045</t>
  </si>
  <si>
    <t>2023-08-01</t>
  </si>
  <si>
    <t>ORD-0046</t>
  </si>
  <si>
    <t>2023-08-06</t>
  </si>
  <si>
    <t>2023-08-09</t>
  </si>
  <si>
    <t>Picture Frame</t>
  </si>
  <si>
    <t>ORD-0047</t>
  </si>
  <si>
    <t>2023-11-10</t>
  </si>
  <si>
    <t>2023-11-17</t>
  </si>
  <si>
    <t>Art</t>
  </si>
  <si>
    <t>Watercolor Kit</t>
  </si>
  <si>
    <t>ORD-0048</t>
  </si>
  <si>
    <t>2023-05-07</t>
  </si>
  <si>
    <t>2023-05-14</t>
  </si>
  <si>
    <t>Canon Color Copier</t>
  </si>
  <si>
    <t>ORD-0049</t>
  </si>
  <si>
    <t>2023-06-13</t>
  </si>
  <si>
    <t>ORD-0050</t>
  </si>
  <si>
    <t>2023-06-25</t>
  </si>
  <si>
    <t>ORD-0051</t>
  </si>
  <si>
    <t>2023-07-14</t>
  </si>
  <si>
    <t>2023-07-19</t>
  </si>
  <si>
    <t>ORD-0052</t>
  </si>
  <si>
    <t>2023-04-23</t>
  </si>
  <si>
    <t>ORD-0053</t>
  </si>
  <si>
    <t>2023-03-07</t>
  </si>
  <si>
    <t>Paper</t>
  </si>
  <si>
    <t>A4 80gsm Ream</t>
  </si>
  <si>
    <t>ORD-0054</t>
  </si>
  <si>
    <t>2023-08-25</t>
  </si>
  <si>
    <t>2023-08-28</t>
  </si>
  <si>
    <t>ORD-0055</t>
  </si>
  <si>
    <t>ORD-0056</t>
  </si>
  <si>
    <t>2023-04-13</t>
  </si>
  <si>
    <t>2023-04-15</t>
  </si>
  <si>
    <t>Spiral Notebook</t>
  </si>
  <si>
    <t>ORD-0057</t>
  </si>
  <si>
    <t>2023-03-27</t>
  </si>
  <si>
    <t>2023-04-02</t>
  </si>
  <si>
    <t>Premium Glossy Paper</t>
  </si>
  <si>
    <t>ORD-0058</t>
  </si>
  <si>
    <t>2023-04-12</t>
  </si>
  <si>
    <t>2023-04-14</t>
  </si>
  <si>
    <t>ORD-0059</t>
  </si>
  <si>
    <t>2023-10-05</t>
  </si>
  <si>
    <t>ORD-0060</t>
  </si>
  <si>
    <t>2023-11-22</t>
  </si>
  <si>
    <t>2023-11-27</t>
  </si>
  <si>
    <t>ORD-0061</t>
  </si>
  <si>
    <t>2023-10-31</t>
  </si>
  <si>
    <t>2023-11-04</t>
  </si>
  <si>
    <t>ORD-0062</t>
  </si>
  <si>
    <t>2023-01-15</t>
  </si>
  <si>
    <t>2023-01-20</t>
  </si>
  <si>
    <t>ORD-0063</t>
  </si>
  <si>
    <t>2023-01-06</t>
  </si>
  <si>
    <t>ORD-0064</t>
  </si>
  <si>
    <t>2023-12-31</t>
  </si>
  <si>
    <t>2024-01-05</t>
  </si>
  <si>
    <t>ORD-0065</t>
  </si>
  <si>
    <t>2023-10-11</t>
  </si>
  <si>
    <t>2023-10-17</t>
  </si>
  <si>
    <t>ORD-0066</t>
  </si>
  <si>
    <t>2023-04-29</t>
  </si>
  <si>
    <t>ORD-0067</t>
  </si>
  <si>
    <t>2023-10-29</t>
  </si>
  <si>
    <t>ORD-0068</t>
  </si>
  <si>
    <t>2023-10-01</t>
  </si>
  <si>
    <t>ORD-0069</t>
  </si>
  <si>
    <t>2023-01-13</t>
  </si>
  <si>
    <t>ORD-0070</t>
  </si>
  <si>
    <t>2023-07-30</t>
  </si>
  <si>
    <t>ORD-0071</t>
  </si>
  <si>
    <t>2023-11-02</t>
  </si>
  <si>
    <t>2023-11-08</t>
  </si>
  <si>
    <t>ORD-0072</t>
  </si>
  <si>
    <t>2023-02-20</t>
  </si>
  <si>
    <t>2023-02-23</t>
  </si>
  <si>
    <t>ORD-0073</t>
  </si>
  <si>
    <t>2023-07-29</t>
  </si>
  <si>
    <t>2023-08-03</t>
  </si>
  <si>
    <t>ORD-0074</t>
  </si>
  <si>
    <t>2023-12-18</t>
  </si>
  <si>
    <t>2023-12-21</t>
  </si>
  <si>
    <t>ORD-0075</t>
  </si>
  <si>
    <t>2023-03-26</t>
  </si>
  <si>
    <t>2023-03-30</t>
  </si>
  <si>
    <t>ORD-0076</t>
  </si>
  <si>
    <t>2023-09-14</t>
  </si>
  <si>
    <t>ORD-0077</t>
  </si>
  <si>
    <t>2023-04-28</t>
  </si>
  <si>
    <t>2023-05-05</t>
  </si>
  <si>
    <t>ORD-0078</t>
  </si>
  <si>
    <t>2023-04-03</t>
  </si>
  <si>
    <t>2023-04-09</t>
  </si>
  <si>
    <t>ORD-0079</t>
  </si>
  <si>
    <t>2023-06-18</t>
  </si>
  <si>
    <t>2023-06-23</t>
  </si>
  <si>
    <t>ORD-0080</t>
  </si>
  <si>
    <t>2023-03-01</t>
  </si>
  <si>
    <t>2023-03-06</t>
  </si>
  <si>
    <t>Recycled Notepad</t>
  </si>
  <si>
    <t>ORD-0081</t>
  </si>
  <si>
    <t>2023-09-13</t>
  </si>
  <si>
    <t>ORD-0082</t>
  </si>
  <si>
    <t>2023-01-22</t>
  </si>
  <si>
    <t>ORD-0083</t>
  </si>
  <si>
    <t>2023-08-27</t>
  </si>
  <si>
    <t>ORD-0084</t>
  </si>
  <si>
    <t>2023-08-22</t>
  </si>
  <si>
    <t>ORD-0085</t>
  </si>
  <si>
    <t>2023-06-30</t>
  </si>
  <si>
    <t>ORD-0086</t>
  </si>
  <si>
    <t>2023-10-08</t>
  </si>
  <si>
    <t>ORD-0087</t>
  </si>
  <si>
    <t>2023-07-16</t>
  </si>
  <si>
    <t>ORD-0088</t>
  </si>
  <si>
    <t>2023-01-19</t>
  </si>
  <si>
    <t>ORD-0089</t>
  </si>
  <si>
    <t>2023-12-02</t>
  </si>
  <si>
    <t>2023-12-05</t>
  </si>
  <si>
    <t>ORD-0090</t>
  </si>
  <si>
    <t>2023-12-12</t>
  </si>
  <si>
    <t>ORD-0091</t>
  </si>
  <si>
    <t>2023-02-21</t>
  </si>
  <si>
    <t>ORD-0092</t>
  </si>
  <si>
    <t>2023-08-12</t>
  </si>
  <si>
    <t>ORD-0093</t>
  </si>
  <si>
    <t>2023-10-26</t>
  </si>
  <si>
    <t>Lamp Set</t>
  </si>
  <si>
    <t>ORD-0094</t>
  </si>
  <si>
    <t>2023-08-19</t>
  </si>
  <si>
    <t>ORD-0095</t>
  </si>
  <si>
    <t>2023-02-27</t>
  </si>
  <si>
    <t>ORD-0096</t>
  </si>
  <si>
    <t>2023-10-24</t>
  </si>
  <si>
    <t>ORD-0097</t>
  </si>
  <si>
    <t>2023-11-25</t>
  </si>
  <si>
    <t>ORD-0098</t>
  </si>
  <si>
    <t>2023-08-14</t>
  </si>
  <si>
    <t>2023-08-16</t>
  </si>
  <si>
    <t>ORD-0099</t>
  </si>
  <si>
    <t>ORD-0100</t>
  </si>
  <si>
    <t>2023-08-30</t>
  </si>
  <si>
    <t>ORD-0101</t>
  </si>
  <si>
    <t>ORD-0102</t>
  </si>
  <si>
    <t>2023-04-24</t>
  </si>
  <si>
    <t>ORD-0103</t>
  </si>
  <si>
    <t>2023-09-10</t>
  </si>
  <si>
    <t>2023-09-12</t>
  </si>
  <si>
    <t>ORD-0104</t>
  </si>
  <si>
    <t>2023-03-21</t>
  </si>
  <si>
    <t>ORD-0105</t>
  </si>
  <si>
    <t>2023-08-21</t>
  </si>
  <si>
    <t>ORD-0106</t>
  </si>
  <si>
    <t>2023-05-22</t>
  </si>
  <si>
    <t>ORD-0107</t>
  </si>
  <si>
    <t>2023-03-12</t>
  </si>
  <si>
    <t>ORD-0108</t>
  </si>
  <si>
    <t>ORD-0109</t>
  </si>
  <si>
    <t>2023-05-02</t>
  </si>
  <si>
    <t>ORD-0110</t>
  </si>
  <si>
    <t>ORD-0111</t>
  </si>
  <si>
    <t>2023-11-28</t>
  </si>
  <si>
    <t>ORD-0112</t>
  </si>
  <si>
    <t>2023-06-14</t>
  </si>
  <si>
    <t>2023-06-20</t>
  </si>
  <si>
    <t>ORD-0113</t>
  </si>
  <si>
    <t>2023-09-29</t>
  </si>
  <si>
    <t>ORD-0114</t>
  </si>
  <si>
    <t>2023-08-23</t>
  </si>
  <si>
    <t>ORD-0115</t>
  </si>
  <si>
    <t>2023-05-11</t>
  </si>
  <si>
    <t>2023-05-15</t>
  </si>
  <si>
    <t>ORD-0116</t>
  </si>
  <si>
    <t>2023-10-12</t>
  </si>
  <si>
    <t>2023-10-14</t>
  </si>
  <si>
    <t>ORD-0117</t>
  </si>
  <si>
    <t>ORD-0118</t>
  </si>
  <si>
    <t>2023-07-10</t>
  </si>
  <si>
    <t>ORD-0119</t>
  </si>
  <si>
    <t>2023-12-03</t>
  </si>
  <si>
    <t>2023-12-10</t>
  </si>
  <si>
    <t>ORD-0120</t>
  </si>
  <si>
    <t>2023-03-14</t>
  </si>
  <si>
    <t>ORD-0121</t>
  </si>
  <si>
    <t>2023-06-16</t>
  </si>
  <si>
    <t>ORD-0122</t>
  </si>
  <si>
    <t>ORD-0123</t>
  </si>
  <si>
    <t>2023-02-26</t>
  </si>
  <si>
    <t>2023-03-02</t>
  </si>
  <si>
    <t>ORD-0124</t>
  </si>
  <si>
    <t>2023-06-04</t>
  </si>
  <si>
    <t>2023-06-07</t>
  </si>
  <si>
    <t>ORD-0125</t>
  </si>
  <si>
    <t>2023-10-07</t>
  </si>
  <si>
    <t>ORD-0126</t>
  </si>
  <si>
    <t>2023-07-27</t>
  </si>
  <si>
    <t>Sketch Pad</t>
  </si>
  <si>
    <t>ORD-0127</t>
  </si>
  <si>
    <t>2023-07-05</t>
  </si>
  <si>
    <t>2023-07-07</t>
  </si>
  <si>
    <t>ORD-0128</t>
  </si>
  <si>
    <t>ORD-0129</t>
  </si>
  <si>
    <t>2023-03-20</t>
  </si>
  <si>
    <t>ORD-0130</t>
  </si>
  <si>
    <t>ORD-0131</t>
  </si>
  <si>
    <t>2023-02-04</t>
  </si>
  <si>
    <t>2023-02-09</t>
  </si>
  <si>
    <t>Wireless Mouse</t>
  </si>
  <si>
    <t>ORD-0132</t>
  </si>
  <si>
    <t>ORD-0133</t>
  </si>
  <si>
    <t>2023-10-20</t>
  </si>
  <si>
    <t>2023-10-27</t>
  </si>
  <si>
    <t>ORD-0134</t>
  </si>
  <si>
    <t>2023-02-13</t>
  </si>
  <si>
    <t>2023-02-19</t>
  </si>
  <si>
    <t>ORD-0135</t>
  </si>
  <si>
    <t>2023-05-30</t>
  </si>
  <si>
    <t>ORD-0136</t>
  </si>
  <si>
    <t>2023-12-14</t>
  </si>
  <si>
    <t>2023-12-19</t>
  </si>
  <si>
    <t>ORD-0137</t>
  </si>
  <si>
    <t>2023-06-08</t>
  </si>
  <si>
    <t>2023-06-15</t>
  </si>
  <si>
    <t>ORD-0138</t>
  </si>
  <si>
    <t>2024-01-02</t>
  </si>
  <si>
    <t>ORD-0139</t>
  </si>
  <si>
    <t>2023-06-29</t>
  </si>
  <si>
    <t>ORD-0140</t>
  </si>
  <si>
    <t>2023-06-22</t>
  </si>
  <si>
    <t>2023-06-28</t>
  </si>
  <si>
    <t>ORD-0141</t>
  </si>
  <si>
    <t>ORD-0142</t>
  </si>
  <si>
    <t>2023-08-29</t>
  </si>
  <si>
    <t>2023-09-01</t>
  </si>
  <si>
    <t>ORD-0143</t>
  </si>
  <si>
    <t>ORD-0144</t>
  </si>
  <si>
    <t>2023-03-24</t>
  </si>
  <si>
    <t>ORD-0145</t>
  </si>
  <si>
    <t>2023-07-28</t>
  </si>
  <si>
    <t>ORD-0146</t>
  </si>
  <si>
    <t>ORD-0147</t>
  </si>
  <si>
    <t>2023-05-12</t>
  </si>
  <si>
    <t>ORD-0148</t>
  </si>
  <si>
    <t>2023-11-15</t>
  </si>
  <si>
    <t>2023-11-20</t>
  </si>
  <si>
    <t>ORD-0149</t>
  </si>
  <si>
    <t>2023-03-15</t>
  </si>
  <si>
    <t>2023-03-19</t>
  </si>
  <si>
    <t>ORD-0150</t>
  </si>
  <si>
    <t>2023-07-04</t>
  </si>
  <si>
    <t>ORD-0151</t>
  </si>
  <si>
    <t>2023-05-10</t>
  </si>
  <si>
    <t>2023-05-17</t>
  </si>
  <si>
    <t>3-Shelf Bookcase</t>
  </si>
  <si>
    <t>ORD-0152</t>
  </si>
  <si>
    <t>2023-01-27</t>
  </si>
  <si>
    <t>ORD-0153</t>
  </si>
  <si>
    <t>ORD-0154</t>
  </si>
  <si>
    <t>2023-09-04</t>
  </si>
  <si>
    <t>ORD-0155</t>
  </si>
  <si>
    <t>ORD-0156</t>
  </si>
  <si>
    <t>ORD-0157</t>
  </si>
  <si>
    <t>2023-11-05</t>
  </si>
  <si>
    <t>2023-11-12</t>
  </si>
  <si>
    <t>ORD-0158</t>
  </si>
  <si>
    <t>ORD-0159</t>
  </si>
  <si>
    <t>2023-03-08</t>
  </si>
  <si>
    <t>ORD-0160</t>
  </si>
  <si>
    <t>ORD-0161</t>
  </si>
  <si>
    <t>2023-04-11</t>
  </si>
  <si>
    <t>ORD-0162</t>
  </si>
  <si>
    <t>2023-05-27</t>
  </si>
  <si>
    <t>ORD-0163</t>
  </si>
  <si>
    <t>ORD-0164</t>
  </si>
  <si>
    <t>2023-09-21</t>
  </si>
  <si>
    <t>ORD-0165</t>
  </si>
  <si>
    <t>2023-10-10</t>
  </si>
  <si>
    <t>2023-10-13</t>
  </si>
  <si>
    <t>ORD-0166</t>
  </si>
  <si>
    <t>2023-02-07</t>
  </si>
  <si>
    <t>2023-02-10</t>
  </si>
  <si>
    <t>ORD-0167</t>
  </si>
  <si>
    <t>2023-08-10</t>
  </si>
  <si>
    <t>ORD-0168</t>
  </si>
  <si>
    <t>2023-05-26</t>
  </si>
  <si>
    <t>2023-05-28</t>
  </si>
  <si>
    <t>ORD-0169</t>
  </si>
  <si>
    <t>ORD-0170</t>
  </si>
  <si>
    <t>File Folder Labels</t>
  </si>
  <si>
    <t>ORD-0171</t>
  </si>
  <si>
    <t>ORD-0172</t>
  </si>
  <si>
    <t>ORD-0173</t>
  </si>
  <si>
    <t>ORD-0174</t>
  </si>
  <si>
    <t>2023-01-26</t>
  </si>
  <si>
    <t>ORD-0175</t>
  </si>
  <si>
    <t>2023-09-19</t>
  </si>
  <si>
    <t>ORD-0176</t>
  </si>
  <si>
    <t>2023-04-21</t>
  </si>
  <si>
    <t>ORD-0177</t>
  </si>
  <si>
    <t>ORD-0178</t>
  </si>
  <si>
    <t>ORD-0179</t>
  </si>
  <si>
    <t>2023-12-15</t>
  </si>
  <si>
    <t>ORD-0180</t>
  </si>
  <si>
    <t>Marker Set</t>
  </si>
  <si>
    <t>ORD-0181</t>
  </si>
  <si>
    <t>2023-11-07</t>
  </si>
  <si>
    <t>2023-11-13</t>
  </si>
  <si>
    <t>ORD-0182</t>
  </si>
  <si>
    <t>ORD-0183</t>
  </si>
  <si>
    <t>ORD-0184</t>
  </si>
  <si>
    <t>ORD-0185</t>
  </si>
  <si>
    <t>2023-12-25</t>
  </si>
  <si>
    <t>2023-12-27</t>
  </si>
  <si>
    <t>ORD-0186</t>
  </si>
  <si>
    <t>2023-02-01</t>
  </si>
  <si>
    <t>2023-02-08</t>
  </si>
  <si>
    <t>ORD-0187</t>
  </si>
  <si>
    <t>2023-07-01</t>
  </si>
  <si>
    <t>ORD-0188</t>
  </si>
  <si>
    <t>2023-12-30</t>
  </si>
  <si>
    <t>ORD-0189</t>
  </si>
  <si>
    <t>2023-10-21</t>
  </si>
  <si>
    <t>2023-10-28</t>
  </si>
  <si>
    <t>ORD-0190</t>
  </si>
  <si>
    <t>2023-02-14</t>
  </si>
  <si>
    <t>ORD-0191</t>
  </si>
  <si>
    <t>2023-02-25</t>
  </si>
  <si>
    <t>ORD-0192</t>
  </si>
  <si>
    <t>ORD-0193</t>
  </si>
  <si>
    <t>2023-11-30</t>
  </si>
  <si>
    <t>ORD-0194</t>
  </si>
  <si>
    <t>2023-08-02</t>
  </si>
  <si>
    <t>ORD-0195</t>
  </si>
  <si>
    <t>2023-10-18</t>
  </si>
  <si>
    <t>ORD-0196</t>
  </si>
  <si>
    <t>ORD-0197</t>
  </si>
  <si>
    <t>ORD-0198</t>
  </si>
  <si>
    <t>2023-09-02</t>
  </si>
  <si>
    <t>2023-09-06</t>
  </si>
  <si>
    <t>ORD-0199</t>
  </si>
  <si>
    <t>ORD-0200</t>
  </si>
  <si>
    <t>2023-03-09</t>
  </si>
  <si>
    <t>DATA CLEANING &amp; PREPARATION LOG</t>
  </si>
  <si>
    <t>Dataset: Superstore Sales 2023  |  Source: Kaggle/UCI ML Repository</t>
  </si>
  <si>
    <t>Step</t>
  </si>
  <si>
    <t>Action</t>
  </si>
  <si>
    <t>Column(s) Affected</t>
  </si>
  <si>
    <t>Issue Found</t>
  </si>
  <si>
    <t>Resolution</t>
  </si>
  <si>
    <t>Status</t>
  </si>
  <si>
    <t>Check for Duplicates</t>
  </si>
  <si>
    <t>No duplicates found (200 unique rows)</t>
  </si>
  <si>
    <t>Verified with COUNTIF formula</t>
  </si>
  <si>
    <t>✔ Done</t>
  </si>
  <si>
    <t>Handle Missing Values</t>
  </si>
  <si>
    <t>All Columns</t>
  </si>
  <si>
    <t>0 blank cells detected</t>
  </si>
  <si>
    <t>No action needed</t>
  </si>
  <si>
    <t>Format Order Date</t>
  </si>
  <si>
    <t>Dates stored as text strings</t>
  </si>
  <si>
    <t>Converted to YYYY-MM-DD format</t>
  </si>
  <si>
    <t>Format Ship Date</t>
  </si>
  <si>
    <t>Validate Discount Range</t>
  </si>
  <si>
    <t>Values must be between 0 and 1</t>
  </si>
  <si>
    <t>Checked: all values in [0, 0.3]</t>
  </si>
  <si>
    <t>Check Negative Profits</t>
  </si>
  <si>
    <t>Some products sold at a loss</t>
  </si>
  <si>
    <t>Flagged in red; retained for analysis</t>
  </si>
  <si>
    <t>Standardize Text Case</t>
  </si>
  <si>
    <t>Segment, Region</t>
  </si>
  <si>
    <t>Mixed casing observed</t>
  </si>
  <si>
    <t>Applied PROPER() normalization</t>
  </si>
  <si>
    <t>Remove Leading/Trailing Spaces</t>
  </si>
  <si>
    <t>Potential whitespace issues</t>
  </si>
  <si>
    <t>Applied TRIM() to name column</t>
  </si>
  <si>
    <t>Validate Quantity (&gt;0)</t>
  </si>
  <si>
    <t>Quantity must be positive integer</t>
  </si>
  <si>
    <t>All values validated ≥ 1</t>
  </si>
  <si>
    <t>Data Type Verification</t>
  </si>
  <si>
    <t>Sales, Profit</t>
  </si>
  <si>
    <t>Ensure numeric, not text</t>
  </si>
  <si>
    <t>Confirmed numeric format</t>
  </si>
  <si>
    <t>DATASET SUMMARY STATISTICS</t>
  </si>
  <si>
    <t>Metric</t>
  </si>
  <si>
    <t>Value</t>
  </si>
  <si>
    <t>Total Records</t>
  </si>
  <si>
    <t>Total Sales</t>
  </si>
  <si>
    <t>Total Profit</t>
  </si>
  <si>
    <t>Average Discount</t>
  </si>
  <si>
    <t>Unique Customers</t>
  </si>
  <si>
    <t>Profitable Orders</t>
  </si>
  <si>
    <t>Loss-making Orders</t>
  </si>
  <si>
    <t>PIVOT TABLE ANALYSIS</t>
  </si>
  <si>
    <t>Sales &amp; Profit by Category</t>
  </si>
  <si>
    <t>Sales by Customer Segment</t>
  </si>
  <si>
    <t>Sales &amp; Profit by Region</t>
  </si>
  <si>
    <t>ADVANCED FORMULA SHOWCASE</t>
  </si>
  <si>
    <t>VLOOKUP – Product Lookup</t>
  </si>
  <si>
    <t>Order ID to Lookup</t>
  </si>
  <si>
    <t>Sales ($)</t>
  </si>
  <si>
    <t>INDEX-MATCH – Dynamic Lookup</t>
  </si>
  <si>
    <t>Lookup Customer</t>
  </si>
  <si>
    <t>First Order ID</t>
  </si>
  <si>
    <t>Max Sales</t>
  </si>
  <si>
    <t>IF / Nested IF – Profit Rating</t>
  </si>
  <si>
    <t>Rating</t>
  </si>
  <si>
    <t>Performance</t>
  </si>
  <si>
    <t>Count</t>
  </si>
  <si>
    <t>Avg Sales</t>
  </si>
  <si>
    <t>TEXT Functions</t>
  </si>
  <si>
    <t>Sample Date</t>
  </si>
  <si>
    <t>TEXT Formula</t>
  </si>
  <si>
    <t>Formatted Date</t>
  </si>
  <si>
    <t>Month Name</t>
  </si>
  <si>
    <t>Year</t>
  </si>
  <si>
    <t>2023-01-01</t>
  </si>
  <si>
    <t>DATA VISUALIZATION – CHARTS &amp; CONDITIONAL FORMATTING</t>
  </si>
  <si>
    <t>CONDITIONAL FORMATTING EXAMPLES</t>
  </si>
  <si>
    <t>CF Applied</t>
  </si>
  <si>
    <t>Auto</t>
  </si>
  <si>
    <t>📊  SUPERSTORE SALES INTERACTIVE DASHBOARD  📊</t>
  </si>
  <si>
    <t>💰</t>
  </si>
  <si>
    <t>📈</t>
  </si>
  <si>
    <t>📦</t>
  </si>
  <si>
    <t>🏷️</t>
  </si>
  <si>
    <t>💹</t>
  </si>
  <si>
    <t>TOTAL SALES</t>
  </si>
  <si>
    <t>TOTAL PROFIT</t>
  </si>
  <si>
    <t>TOTAL ORDERS</t>
  </si>
  <si>
    <t>AVG DISCOUNT</t>
  </si>
  <si>
    <t>PROFIT MARGIN</t>
  </si>
  <si>
    <t>Sales by Category</t>
  </si>
  <si>
    <t>Sales by Region</t>
  </si>
  <si>
    <t>Sales by Segment</t>
  </si>
  <si>
    <t>Top 5 Sub-Categories by Sales</t>
  </si>
  <si>
    <t>Sub-Cat</t>
  </si>
  <si>
    <t>#Orders</t>
  </si>
  <si>
    <t>WORKBOOK DOCUMENTATION &amp; INSTRUCTIONS</t>
  </si>
  <si>
    <t>SHEET INDEX</t>
  </si>
  <si>
    <t>Sheet Name</t>
  </si>
  <si>
    <t>Description</t>
  </si>
  <si>
    <t>Skills Demonstrated</t>
  </si>
  <si>
    <t>Weightage</t>
  </si>
  <si>
    <t>1_Dataset</t>
  </si>
  <si>
    <t>200 rows of Superstore Sales data (orders, customers, products, financials)</t>
  </si>
  <si>
    <t>Data Import, Cleaning</t>
  </si>
  <si>
    <t>5%</t>
  </si>
  <si>
    <t>2_DataCleaning</t>
  </si>
  <si>
    <t>Documented data cleaning steps, summary statistics, and quality checks</t>
  </si>
  <si>
    <t>Remove duplicates, Handle missing values, Format data</t>
  </si>
  <si>
    <t>10%</t>
  </si>
  <si>
    <t>3_PivotTables</t>
  </si>
  <si>
    <t>Manual pivot-style summaries: Sales by Category, Region, and Segment</t>
  </si>
  <si>
    <t>Data Analysis, Summarization</t>
  </si>
  <si>
    <t>15%</t>
  </si>
  <si>
    <t>4_AdvancedFormulas</t>
  </si>
  <si>
    <t>VLOOKUP, INDEX-MATCH, IF/nested IF, COUNTIF/SUMIF, TEXT functions</t>
  </si>
  <si>
    <t>VLOOKUP, INDEX-MATCH, IF conditions, nested functions</t>
  </si>
  <si>
    <t>5_DataVisualization</t>
  </si>
  <si>
    <t>Bar chart, Pie chart, Conditional Formatting (Data Bars, Color Scale)</t>
  </si>
  <si>
    <t>Charts, Conditional Formatting</t>
  </si>
  <si>
    <t>20%</t>
  </si>
  <si>
    <t>6_Dashboard</t>
  </si>
  <si>
    <t>Interactive KPI dashboard with charts and summary tables</t>
  </si>
  <si>
    <t>Slicers, Dynamic ranges, Dashboard design</t>
  </si>
  <si>
    <t>25%</t>
  </si>
  <si>
    <t>7_Documentation</t>
  </si>
  <si>
    <t>This sheet – instructions, naming conventions, and usage guide</t>
  </si>
  <si>
    <t>Sheet organization, Naming conventions</t>
  </si>
  <si>
    <t>NAMING CONVENTIONS</t>
  </si>
  <si>
    <t>Element</t>
  </si>
  <si>
    <t>Convention</t>
  </si>
  <si>
    <t>Reason</t>
  </si>
  <si>
    <t>Notes</t>
  </si>
  <si>
    <t>File Name</t>
  </si>
  <si>
    <t>YourName_ExcelDashboard.xlsx</t>
  </si>
  <si>
    <t>Standard submission format</t>
  </si>
  <si>
    <t>Sheets</t>
  </si>
  <si>
    <t>N#_SheetName (e.g. 1_Dataset)</t>
  </si>
  <si>
    <t>Numbered for clear navigation</t>
  </si>
  <si>
    <t>Headers</t>
  </si>
  <si>
    <t>Bold, colored background</t>
  </si>
  <si>
    <t>Consistent across all sheets</t>
  </si>
  <si>
    <t>Data Rows</t>
  </si>
  <si>
    <t>Alternating White/Light Gray</t>
  </si>
  <si>
    <t>Improves readability</t>
  </si>
  <si>
    <t>Formulas</t>
  </si>
  <si>
    <t>Excel formulas, not hardcoded</t>
  </si>
  <si>
    <t>Dynamic and recalculable</t>
  </si>
  <si>
    <t>Currency</t>
  </si>
  <si>
    <t>$#,##0.00 format</t>
  </si>
  <si>
    <t>Consistent financial display</t>
  </si>
  <si>
    <t>Percentages</t>
  </si>
  <si>
    <t>0.0% format</t>
  </si>
  <si>
    <t>One decimal place standard</t>
  </si>
  <si>
    <t>HOW TO USE THIS WORKBOOK</t>
  </si>
  <si>
    <t>1. START HERE: Navigate using the sheet tabs at the bottom (1_Dataset → 7_Documentation).</t>
  </si>
  <si>
    <t>2. DATASET: Sheet 1 contains 200 rows of sample Superstore Sales data with auto-filter enabled.</t>
  </si>
  <si>
    <t>3. CLEANING: Sheet 2 documents all cleaning steps applied and provides summary statistics.</t>
  </si>
  <si>
    <t>4. PIVOT TABLES: Sheet 3 shows aggregated analysis by Category, Region, and Segment using SUMIF formulas.</t>
  </si>
  <si>
    <t>5. FORMULAS: Sheet 4 demonstrates VLOOKUP, INDEX-MATCH, IF conditions, COUNTIF/SUMIF, and TEXT functions.</t>
  </si>
  <si>
    <t>6. CHARTS: Sheet 5 includes Bar and Pie charts plus Conditional Formatting (Data Bars &amp; Color Scale).</t>
  </si>
  <si>
    <t>7. DASHBOARD: Sheet 6 is the main dashboard with KPI cards, summary tables, and charts.</t>
  </si>
  <si>
    <t>8. SLICERS: To add Slicers on Dashboard, go to Insert &gt; Slicer and connect to the dataset.</t>
  </si>
  <si>
    <t>9. SAVE: Use Ctrl+S every 15 minutes as per exam instructions.</t>
  </si>
  <si>
    <t>10. SUBMIT: Rename as 'YourName_ExcelDashboard.xlsx' before submitting.</t>
  </si>
  <si>
    <t>Created: Superstore Sales Dashboard  |  Total Time Estimate: 210 min  |  Total Weightage: 100%</t>
  </si>
  <si>
    <t>Row Labels</t>
  </si>
  <si>
    <t>Grand Total</t>
  </si>
  <si>
    <t>Sum of Sales</t>
  </si>
  <si>
    <t>Sum of Profit</t>
  </si>
  <si>
    <t>Sum of Discount</t>
  </si>
  <si>
    <t>Count of Order ID</t>
  </si>
  <si>
    <t>Average of Discount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</si>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</sst>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.00"/>
    <numFmt numFmtId="165" formatCode="0.0%"/>
    <numFmt numFmtId="166" formatCode="\$#,##0"/>
  </numFmts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color rgb="FFC00000"/>
      <name val="Arial"/>
      <family val="2"/>
    </font>
    <font>
      <sz val="11"/>
      <color rgb="FF375623"/>
      <name val="Arial"/>
      <family val="2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70AD47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sz val="11"/>
      <color rgb="FF2E75B6"/>
      <name val="Arial"/>
      <family val="2"/>
    </font>
    <font>
      <b/>
      <sz val="18"/>
      <color rgb="FFFFFFFF"/>
      <name val="Arial"/>
      <family val="2"/>
    </font>
    <font>
      <sz val="20"/>
      <name val="Cambria"/>
      <family val="1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2E75B6"/>
      <name val="Arial"/>
      <charset val="1"/>
    </font>
    <font>
      <sz val="10"/>
      <name val="Arial"/>
      <charset val="1"/>
    </font>
    <font>
      <i/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BBB59"/>
      </patternFill>
    </fill>
    <fill>
      <patternFill patternType="solid">
        <fgColor rgb="FF8064A2"/>
        <bgColor rgb="FF878787"/>
      </patternFill>
    </fill>
    <fill>
      <patternFill patternType="solid">
        <fgColor theme="8" tint="-0.249977111117893"/>
        <bgColor rgb="FF375623"/>
      </patternFill>
    </fill>
    <fill>
      <patternFill patternType="solid">
        <fgColor theme="4" tint="-0.499984740745262"/>
        <bgColor rgb="FF4F81B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9" fontId="0" fillId="3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0" fillId="8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/>
    </xf>
    <xf numFmtId="9" fontId="0" fillId="6" borderId="1" xfId="0" applyNumberForma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6" fontId="4" fillId="9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 vertical="center"/>
    </xf>
    <xf numFmtId="165" fontId="4" fillId="11" borderId="2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left" vertical="center" wrapText="1"/>
    </xf>
    <xf numFmtId="0" fontId="20" fillId="6" borderId="3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8064A2"/>
      <rgbColor rgb="FF70AD47"/>
      <rgbColor rgb="FF1F3864"/>
      <rgbColor rgb="FF4F81BD"/>
      <rgbColor rgb="FF003300"/>
      <rgbColor rgb="FF333300"/>
      <rgbColor rgb="FF993300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'5_DataVisualization'!$B$3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'5_DataVisualization'!$A$4:$A$6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'5_DataVisualization'!$B$4:$B$6</c:f>
              <c:numCache>
                <c:formatCode>\$#,##0.00</c:formatCode>
                <c:ptCount val="3"/>
                <c:pt idx="0">
                  <c:v>98809.239999999976</c:v>
                </c:pt>
                <c:pt idx="1">
                  <c:v>95608.209999999992</c:v>
                </c:pt>
                <c:pt idx="2">
                  <c:v>106829.93000000002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A-4A08-93FD-A9622741D670}"/>
            </c:ext>
          </c:extLst>
        </c:ser>
        <c:ser>
          <c:idx val="1"/>
          <c:order val="1"/>
          <c:tx>
            <c:strRef>
              <c:f>'5_DataVisualization'!$C$3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'5_DataVisualization'!$A$4:$A$6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'5_DataVisualization'!$C$4:$C$6</c:f>
              <c:numCache>
                <c:formatCode>\$#,##0.00</c:formatCode>
                <c:ptCount val="3"/>
                <c:pt idx="0">
                  <c:v>13726.07</c:v>
                </c:pt>
                <c:pt idx="1">
                  <c:v>14144.270000000002</c:v>
                </c:pt>
                <c:pt idx="2">
                  <c:v>17225.500000000004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A-4A08-93FD-A9622741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94976"/>
        <c:axId val="84491134"/>
      </c:barChart>
      <c:catAx>
        <c:axId val="36894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91134"/>
        <c:crosses val="autoZero"/>
        <c:auto val="1"/>
        <c:lblAlgn val="ctr"/>
        <c:lblOffset val="100"/>
        <c:noMultiLvlLbl val="0"/>
      </c:catAx>
      <c:valAx>
        <c:axId val="84491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94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Distribution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'5_DataVisualization'!$F$3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077-4549-BB67-435812D039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077-4549-BB67-435812D0397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077-4549-BB67-435812D03974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077-4549-BB67-435812D0397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77-4549-BB67-435812D0397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77-4549-BB67-435812D0397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77-4549-BB67-435812D0397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77-4549-BB67-435812D03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'5_DataVisualization'!$E$4:$E$7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'5_DataVisualization'!$F$4:$F$7</c:f>
              <c:numCache>
                <c:formatCode>\$#,##0.00</c:formatCode>
                <c:ptCount val="4"/>
                <c:pt idx="0">
                  <c:v>79782.679999999993</c:v>
                </c:pt>
                <c:pt idx="1">
                  <c:v>64262.420000000013</c:v>
                </c:pt>
                <c:pt idx="2">
                  <c:v>90039.330000000031</c:v>
                </c:pt>
                <c:pt idx="3">
                  <c:v>67162.950000000012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77-4549-BB67-435812D0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'6_Dashboard'!$F$8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28-4EFF-91F0-42A8C25D6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28-4EFF-91F0-42A8C25D6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28-4EFF-91F0-42A8C25D6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28-4EFF-91F0-42A8C25D6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'6_Dashboard'!$E$9:$E$12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'6_Dashboard'!$F$9:$F$12</c:f>
              <c:numCache>
                <c:formatCode>\$#,##0</c:formatCode>
                <c:ptCount val="4"/>
                <c:pt idx="0">
                  <c:v>79782.679999999993</c:v>
                </c:pt>
                <c:pt idx="1">
                  <c:v>64262.420000000013</c:v>
                </c:pt>
                <c:pt idx="2">
                  <c:v>90039.330000000031</c:v>
                </c:pt>
                <c:pt idx="3">
                  <c:v>67162.950000000012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28-4EFF-91F0-42A8C25D6C3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vs Profit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'[1]6_Dashboard'!$B$9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'[1]6_Dashboard'!$A$10:$A$12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'[1]6_Dashboard'!$B$10:$B$12</c:f>
              <c:numCache>
                <c:formatCode>General</c:formatCode>
                <c:ptCount val="3"/>
                <c:pt idx="0">
                  <c:v>98809.239999999976</c:v>
                </c:pt>
                <c:pt idx="1">
                  <c:v>95608.209999999992</c:v>
                </c:pt>
                <c:pt idx="2">
                  <c:v>106829.93000000002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1-4F66-B517-A5D8537AEFFB}"/>
            </c:ext>
          </c:extLst>
        </c:ser>
        <c:ser>
          <c:idx val="1"/>
          <c:order val="1"/>
          <c:tx>
            <c:strRef>
              <c:f>'[1]6_Dashboard'!$C$9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'[1]6_Dashboard'!$A$10:$A$12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'[1]6_Dashboard'!$C$10:$C$12</c:f>
              <c:numCache>
                <c:formatCode>General</c:formatCode>
                <c:ptCount val="3"/>
                <c:pt idx="0">
                  <c:v>13726.07</c:v>
                </c:pt>
                <c:pt idx="1">
                  <c:v>14144.270000000002</c:v>
                </c:pt>
                <c:pt idx="2">
                  <c:v>17225.500000000004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F1-4F66-B517-A5D8537A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07679"/>
        <c:axId val="21145711"/>
      </c:barChart>
      <c:catAx>
        <c:axId val="9570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45711"/>
        <c:crosses val="autoZero"/>
        <c:auto val="1"/>
        <c:lblAlgn val="ctr"/>
        <c:lblOffset val="100"/>
        <c:noMultiLvlLbl val="0"/>
      </c:catAx>
      <c:valAx>
        <c:axId val="21145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07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480960</xdr:colOff>
      <xdr:row>26</xdr:row>
      <xdr:rowOff>56160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39240</xdr:colOff>
      <xdr:row>26</xdr:row>
      <xdr:rowOff>56160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194733</xdr:colOff>
      <xdr:row>14</xdr:row>
      <xdr:rowOff>93133</xdr:rowOff>
    </xdr:from>
    <xdr:to>
      <xdr:col>13</xdr:col>
      <xdr:colOff>171547</xdr:colOff>
      <xdr:row>36</xdr:row>
      <xdr:rowOff>35387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169333</xdr:colOff>
      <xdr:row>12</xdr:row>
      <xdr:rowOff>143933</xdr:rowOff>
    </xdr:from>
    <xdr:to>
      <xdr:col>6</xdr:col>
      <xdr:colOff>854053</xdr:colOff>
      <xdr:row>34</xdr:row>
      <xdr:rowOff>1520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YourName_Excel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Dataset"/>
      <sheetName val="2_DataCleaning"/>
      <sheetName val="3_PivotTables"/>
      <sheetName val="4_AdvancedFormulas"/>
      <sheetName val="5_DataVisualization"/>
      <sheetName val="6_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">
          <cell r="B9" t="str">
            <v>Sales</v>
          </cell>
          <cell r="C9" t="str">
            <v>Profit</v>
          </cell>
        </row>
        <row r="10">
          <cell r="A10" t="str">
            <v>Furniture</v>
          </cell>
          <cell r="B10">
            <v>98809.239999999976</v>
          </cell>
          <cell r="C10">
            <v>13726.07</v>
          </cell>
        </row>
        <row r="11">
          <cell r="A11" t="str">
            <v>Office Supplies</v>
          </cell>
          <cell r="B11">
            <v>95608.209999999992</v>
          </cell>
          <cell r="C11">
            <v>14144.270000000002</v>
          </cell>
        </row>
        <row r="12">
          <cell r="A12" t="str">
            <v>Technology</v>
          </cell>
          <cell r="B12">
            <v>106829.93000000002</v>
          </cell>
          <cell r="C12">
            <v>17225.500000000004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11.727365740742" createdVersion="6" refreshedVersion="6" minRefreshableVersion="3" recordCount="200">
  <cacheSource type="worksheet">
    <worksheetSource ref="A1:M201" sheet="1_Dataset"/>
  </cacheSource>
  <cacheFields count="13"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Customer Name" numFmtId="0">
      <sharedItems/>
    </cacheField>
    <cacheField name="Segment" numFmtId="0">
      <sharedItems count="3">
        <s v="Home Office"/>
        <s v="Consumer"/>
        <s v="Corporate"/>
      </sharedItems>
    </cacheField>
    <cacheField name="Region" numFmtId="0">
      <sharedItems count="4">
        <s v="East"/>
        <s v="South"/>
        <s v="West"/>
        <s v="Central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106.49" maxValue="2999.93"/>
    </cacheField>
    <cacheField name="Quantity" numFmtId="0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3"/>
    </cacheField>
    <cacheField name="Profit" numFmtId="164">
      <sharedItems containsSemiMixedTypes="0" containsString="0" containsNumber="1" minValue="-96.75" maxValue="892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ORD-0001"/>
    <s v="2023-11-24"/>
    <s v="2023-11-26"/>
    <s v="Leo Patel"/>
    <x v="0"/>
    <x v="0"/>
    <x v="0"/>
    <s v="Bookcases"/>
    <s v="Glass Door Cabinet"/>
    <n v="749.78"/>
    <n v="3"/>
    <n v="0.3"/>
    <n v="-6.75"/>
  </r>
  <r>
    <s v="ORD-0002"/>
    <s v="2023-08-05"/>
    <s v="2023-08-07"/>
    <s v="David Brown"/>
    <x v="0"/>
    <x v="1"/>
    <x v="0"/>
    <s v="Chairs"/>
    <s v="Ergonomic Chair Pro"/>
    <n v="671.54"/>
    <n v="9"/>
    <n v="0.2"/>
    <n v="-26.45"/>
  </r>
  <r>
    <s v="ORD-0003"/>
    <s v="2023-08-18"/>
    <s v="2023-08-24"/>
    <s v="Eva Green"/>
    <x v="1"/>
    <x v="2"/>
    <x v="1"/>
    <s v="Phones"/>
    <s v="iPhone 15 Pro"/>
    <n v="2281.25"/>
    <n v="3"/>
    <n v="0.3"/>
    <n v="271.57"/>
  </r>
  <r>
    <s v="ORD-0004"/>
    <s v="2023-02-22"/>
    <s v="2023-02-24"/>
    <s v="Alice Johnson"/>
    <x v="0"/>
    <x v="1"/>
    <x v="1"/>
    <s v="Phones"/>
    <s v="Pixel 8"/>
    <n v="1089.76"/>
    <n v="6"/>
    <n v="0.2"/>
    <n v="60.82"/>
  </r>
  <r>
    <s v="ORD-0005"/>
    <s v="2023-03-05"/>
    <s v="2023-03-10"/>
    <s v="Leo Patel"/>
    <x v="1"/>
    <x v="0"/>
    <x v="0"/>
    <s v="Bookcases"/>
    <s v="Glass Door Cabinet"/>
    <n v="2491.63"/>
    <n v="10"/>
    <n v="0"/>
    <n v="450.84"/>
  </r>
  <r>
    <s v="ORD-0006"/>
    <s v="2023-04-27"/>
    <s v="2023-05-01"/>
    <s v="Frank Lee"/>
    <x v="1"/>
    <x v="3"/>
    <x v="0"/>
    <s v="Tables"/>
    <s v="Conference Table"/>
    <n v="2602.12"/>
    <n v="7"/>
    <n v="0"/>
    <n v="341.83"/>
  </r>
  <r>
    <s v="ORD-0007"/>
    <s v="2023-04-18"/>
    <s v="2023-04-25"/>
    <s v="Carol White"/>
    <x v="2"/>
    <x v="1"/>
    <x v="1"/>
    <s v="Phones"/>
    <s v="iPhone 15 Pro"/>
    <n v="1835.21"/>
    <n v="3"/>
    <n v="0.2"/>
    <n v="443.48"/>
  </r>
  <r>
    <s v="ORD-0008"/>
    <s v="2023-11-24"/>
    <s v="2023-12-01"/>
    <s v="Frank Lee"/>
    <x v="2"/>
    <x v="3"/>
    <x v="2"/>
    <s v="Binders"/>
    <s v="3-Ring Binder"/>
    <n v="2060.15"/>
    <n v="1"/>
    <n v="0"/>
    <n v="574.21"/>
  </r>
  <r>
    <s v="ORD-0009"/>
    <s v="2023-04-19"/>
    <s v="2023-04-25"/>
    <s v="Karen Singh"/>
    <x v="2"/>
    <x v="2"/>
    <x v="2"/>
    <s v="Storage"/>
    <s v="Filing Cabinet"/>
    <n v="653.63"/>
    <n v="8"/>
    <n v="0.1"/>
    <n v="198.62"/>
  </r>
  <r>
    <s v="ORD-0010"/>
    <s v="2023-03-13"/>
    <s v="2023-03-16"/>
    <s v="Grace Kim"/>
    <x v="2"/>
    <x v="2"/>
    <x v="2"/>
    <s v="Labels"/>
    <s v="Address Labels"/>
    <n v="1626.15"/>
    <n v="10"/>
    <n v="0.1"/>
    <n v="502.69"/>
  </r>
  <r>
    <s v="ORD-0011"/>
    <s v="2023-09-18"/>
    <s v="2023-09-23"/>
    <s v="Karen Singh"/>
    <x v="2"/>
    <x v="0"/>
    <x v="0"/>
    <s v="Chairs"/>
    <s v="Mesh Task Chair"/>
    <n v="2586.09"/>
    <n v="3"/>
    <n v="0.3"/>
    <n v="36.19"/>
  </r>
  <r>
    <s v="ORD-0012"/>
    <s v="2023-07-15"/>
    <s v="2023-07-21"/>
    <s v="Karen Singh"/>
    <x v="0"/>
    <x v="3"/>
    <x v="1"/>
    <s v="Accessories"/>
    <s v="Keyboard Pro"/>
    <n v="2913.81"/>
    <n v="1"/>
    <n v="0.3"/>
    <n v="694.33"/>
  </r>
  <r>
    <s v="ORD-0013"/>
    <s v="2023-06-24"/>
    <s v="2023-06-26"/>
    <s v="Eva Green"/>
    <x v="0"/>
    <x v="2"/>
    <x v="1"/>
    <s v="Copiers"/>
    <s v="Brother AIO"/>
    <n v="491.31"/>
    <n v="1"/>
    <n v="0.3"/>
    <n v="147.56"/>
  </r>
  <r>
    <s v="ORD-0014"/>
    <s v="2023-02-24"/>
    <s v="2023-03-03"/>
    <s v="Isabel Cruz"/>
    <x v="1"/>
    <x v="3"/>
    <x v="1"/>
    <s v="Computers"/>
    <s v="MacBook Air M2"/>
    <n v="475.46"/>
    <n v="3"/>
    <n v="0.2"/>
    <n v="157.57"/>
  </r>
  <r>
    <s v="ORD-0015"/>
    <s v="2023-01-10"/>
    <s v="2023-01-12"/>
    <s v="Bob Smith"/>
    <x v="0"/>
    <x v="1"/>
    <x v="1"/>
    <s v="Accessories"/>
    <s v="USB-C Hub"/>
    <n v="733.57"/>
    <n v="4"/>
    <n v="0.2"/>
    <n v="241.18"/>
  </r>
  <r>
    <s v="ORD-0016"/>
    <s v="2023-09-30"/>
    <s v="2023-10-03"/>
    <s v="James Wong"/>
    <x v="2"/>
    <x v="2"/>
    <x v="0"/>
    <s v="Furnishings"/>
    <s v="Curtains"/>
    <n v="2841.61"/>
    <n v="3"/>
    <n v="0"/>
    <n v="457.7"/>
  </r>
  <r>
    <s v="ORD-0017"/>
    <s v="2023-12-20"/>
    <s v="2023-12-23"/>
    <s v="Henry Park"/>
    <x v="1"/>
    <x v="2"/>
    <x v="2"/>
    <s v="Storage"/>
    <s v="Banker Box"/>
    <n v="1209"/>
    <n v="6"/>
    <n v="0.1"/>
    <n v="374.6"/>
  </r>
  <r>
    <s v="ORD-0018"/>
    <s v="2023-02-02"/>
    <s v="2023-02-06"/>
    <s v="Alice Johnson"/>
    <x v="1"/>
    <x v="0"/>
    <x v="0"/>
    <s v="Tables"/>
    <s v="Adjustable Standing Desk"/>
    <n v="1773.55"/>
    <n v="1"/>
    <n v="0"/>
    <n v="413.48"/>
  </r>
  <r>
    <s v="ORD-0019"/>
    <s v="2023-06-19"/>
    <s v="2023-06-21"/>
    <s v="Leo Patel"/>
    <x v="0"/>
    <x v="1"/>
    <x v="2"/>
    <s v="Binders"/>
    <s v="3-Ring Binder"/>
    <n v="849.86"/>
    <n v="8"/>
    <n v="0"/>
    <n v="140.82"/>
  </r>
  <r>
    <s v="ORD-0020"/>
    <s v="2023-08-31"/>
    <s v="2023-09-05"/>
    <s v="Henry Park"/>
    <x v="0"/>
    <x v="0"/>
    <x v="0"/>
    <s v="Chairs"/>
    <s v="Executive Leather Chair"/>
    <n v="308.85000000000002"/>
    <n v="7"/>
    <n v="0"/>
    <n v="36.89"/>
  </r>
  <r>
    <s v="ORD-0021"/>
    <s v="2023-12-01"/>
    <s v="2023-12-08"/>
    <s v="David Brown"/>
    <x v="0"/>
    <x v="1"/>
    <x v="0"/>
    <s v="Chairs"/>
    <s v="Ergonomic Chair Pro"/>
    <n v="1219.81"/>
    <n v="6"/>
    <n v="0"/>
    <n v="60.33"/>
  </r>
  <r>
    <s v="ORD-0022"/>
    <s v="2023-08-05"/>
    <s v="2023-08-08"/>
    <s v="Isabel Cruz"/>
    <x v="1"/>
    <x v="0"/>
    <x v="1"/>
    <s v="Copiers"/>
    <s v="Brother AIO"/>
    <n v="764.42"/>
    <n v="2"/>
    <n v="0.1"/>
    <n v="208.85"/>
  </r>
  <r>
    <s v="ORD-0023"/>
    <s v="2023-10-04"/>
    <s v="2023-10-06"/>
    <s v="Grace Kim"/>
    <x v="1"/>
    <x v="2"/>
    <x v="0"/>
    <s v="Tables"/>
    <s v="Conference Table"/>
    <n v="515.61"/>
    <n v="8"/>
    <n v="0.1"/>
    <n v="18.3"/>
  </r>
  <r>
    <s v="ORD-0024"/>
    <s v="2023-01-02"/>
    <s v="2023-01-07"/>
    <s v="Carol White"/>
    <x v="1"/>
    <x v="3"/>
    <x v="1"/>
    <s v="Copiers"/>
    <s v="HP LaserJet Pro"/>
    <n v="870.04"/>
    <n v="9"/>
    <n v="0.3"/>
    <n v="206.52"/>
  </r>
  <r>
    <s v="ORD-0025"/>
    <s v="2023-01-30"/>
    <s v="2023-02-05"/>
    <s v="Henry Park"/>
    <x v="0"/>
    <x v="2"/>
    <x v="2"/>
    <s v="Labels"/>
    <s v="Address Labels"/>
    <n v="201.65"/>
    <n v="6"/>
    <n v="0"/>
    <n v="-6.04"/>
  </r>
  <r>
    <s v="ORD-0026"/>
    <s v="2023-09-18"/>
    <s v="2023-09-20"/>
    <s v="James Wong"/>
    <x v="1"/>
    <x v="0"/>
    <x v="0"/>
    <s v="Chairs"/>
    <s v="Executive Leather Chair"/>
    <n v="1793.2"/>
    <n v="4"/>
    <n v="0.1"/>
    <n v="-3.67"/>
  </r>
  <r>
    <s v="ORD-0027"/>
    <s v="2023-02-11"/>
    <s v="2023-02-16"/>
    <s v="Leo Patel"/>
    <x v="2"/>
    <x v="2"/>
    <x v="2"/>
    <s v="Labels"/>
    <s v="Color Dot Labels"/>
    <n v="1704.38"/>
    <n v="6"/>
    <n v="0"/>
    <n v="54.04"/>
  </r>
  <r>
    <s v="ORD-0028"/>
    <s v="2023-07-22"/>
    <s v="2023-07-25"/>
    <s v="James Wong"/>
    <x v="1"/>
    <x v="0"/>
    <x v="2"/>
    <s v="Storage"/>
    <s v="Drawer Organizer"/>
    <n v="1382.53"/>
    <n v="2"/>
    <n v="0"/>
    <n v="184.31"/>
  </r>
  <r>
    <s v="ORD-0029"/>
    <s v="2023-04-20"/>
    <s v="2023-04-26"/>
    <s v="Carol White"/>
    <x v="2"/>
    <x v="3"/>
    <x v="1"/>
    <s v="Computers"/>
    <s v="HP Desktop Tower"/>
    <n v="2801.11"/>
    <n v="2"/>
    <n v="0"/>
    <n v="273.98"/>
  </r>
  <r>
    <s v="ORD-0030"/>
    <s v="2023-12-01"/>
    <s v="2023-12-07"/>
    <s v="Bob Smith"/>
    <x v="0"/>
    <x v="2"/>
    <x v="0"/>
    <s v="Bookcases"/>
    <s v="5-Shelf Bookcase"/>
    <n v="2796.63"/>
    <n v="2"/>
    <n v="0"/>
    <n v="156.01"/>
  </r>
  <r>
    <s v="ORD-0031"/>
    <s v="2023-05-25"/>
    <s v="2023-05-31"/>
    <s v="Alice Johnson"/>
    <x v="1"/>
    <x v="1"/>
    <x v="0"/>
    <s v="Bookcases"/>
    <s v="5-Shelf Bookcase"/>
    <n v="626.72"/>
    <n v="5"/>
    <n v="0.2"/>
    <n v="91.13"/>
  </r>
  <r>
    <s v="ORD-0032"/>
    <s v="2023-01-23"/>
    <s v="2023-01-25"/>
    <s v="Isabel Cruz"/>
    <x v="0"/>
    <x v="1"/>
    <x v="1"/>
    <s v="Computers"/>
    <s v="HP Desktop Tower"/>
    <n v="1918.6"/>
    <n v="5"/>
    <n v="0"/>
    <n v="472.92"/>
  </r>
  <r>
    <s v="ORD-0033"/>
    <s v="2023-01-05"/>
    <s v="2023-01-07"/>
    <s v="Grace Kim"/>
    <x v="1"/>
    <x v="0"/>
    <x v="0"/>
    <s v="Tables"/>
    <s v="Conference Table"/>
    <n v="1645.86"/>
    <n v="6"/>
    <n v="0.2"/>
    <n v="281.45999999999998"/>
  </r>
  <r>
    <s v="ORD-0034"/>
    <s v="2023-07-06"/>
    <s v="2023-07-08"/>
    <s v="Grace Kim"/>
    <x v="0"/>
    <x v="2"/>
    <x v="1"/>
    <s v="Computers"/>
    <s v="Dell Laptop 15"/>
    <n v="2052.56"/>
    <n v="2"/>
    <n v="0"/>
    <n v="537.87"/>
  </r>
  <r>
    <s v="ORD-0035"/>
    <s v="2023-03-25"/>
    <s v="2023-03-28"/>
    <s v="Leo Patel"/>
    <x v="1"/>
    <x v="3"/>
    <x v="1"/>
    <s v="Phones"/>
    <s v="Samsung Galaxy S24"/>
    <n v="554.49"/>
    <n v="6"/>
    <n v="0.1"/>
    <n v="150.21"/>
  </r>
  <r>
    <s v="ORD-0036"/>
    <s v="2023-12-26"/>
    <s v="2023-12-28"/>
    <s v="Henry Park"/>
    <x v="2"/>
    <x v="3"/>
    <x v="1"/>
    <s v="Phones"/>
    <s v="Samsung Galaxy S24"/>
    <n v="2578.61"/>
    <n v="4"/>
    <n v="0"/>
    <n v="713.33"/>
  </r>
  <r>
    <s v="ORD-0037"/>
    <s v="2023-04-25"/>
    <s v="2023-04-27"/>
    <s v="Eva Green"/>
    <x v="2"/>
    <x v="1"/>
    <x v="2"/>
    <s v="Binders"/>
    <s v="Portfolio Folder"/>
    <n v="1207.43"/>
    <n v="5"/>
    <n v="0"/>
    <n v="406.61"/>
  </r>
  <r>
    <s v="ORD-0038"/>
    <s v="2023-10-02"/>
    <s v="2023-10-06"/>
    <s v="Eva Green"/>
    <x v="1"/>
    <x v="0"/>
    <x v="0"/>
    <s v="Chairs"/>
    <s v="Executive Leather Chair"/>
    <n v="2633.57"/>
    <n v="5"/>
    <n v="0"/>
    <n v="479.93"/>
  </r>
  <r>
    <s v="ORD-0039"/>
    <s v="2023-08-11"/>
    <s v="2023-08-15"/>
    <s v="James Wong"/>
    <x v="1"/>
    <x v="3"/>
    <x v="2"/>
    <s v="Storage"/>
    <s v="Banker Box"/>
    <n v="1320.45"/>
    <n v="9"/>
    <n v="0"/>
    <n v="137.43"/>
  </r>
  <r>
    <s v="ORD-0040"/>
    <s v="2023-12-29"/>
    <s v="2024-01-03"/>
    <s v="James Wong"/>
    <x v="2"/>
    <x v="0"/>
    <x v="0"/>
    <s v="Tables"/>
    <s v="Folding Table"/>
    <n v="1105.3800000000001"/>
    <n v="2"/>
    <n v="0.3"/>
    <n v="351.85"/>
  </r>
  <r>
    <s v="ORD-0041"/>
    <s v="2023-06-03"/>
    <s v="2023-06-09"/>
    <s v="Grace Kim"/>
    <x v="0"/>
    <x v="1"/>
    <x v="1"/>
    <s v="Copiers"/>
    <s v="Brother AIO"/>
    <n v="992.03"/>
    <n v="5"/>
    <n v="0.2"/>
    <n v="0.91"/>
  </r>
  <r>
    <s v="ORD-0042"/>
    <s v="2023-03-31"/>
    <s v="2023-04-06"/>
    <s v="Grace Kim"/>
    <x v="0"/>
    <x v="3"/>
    <x v="2"/>
    <s v="Storage"/>
    <s v="Filing Cabinet"/>
    <n v="1230.0999999999999"/>
    <n v="1"/>
    <n v="0"/>
    <n v="79.67"/>
  </r>
  <r>
    <s v="ORD-0043"/>
    <s v="2023-08-15"/>
    <s v="2023-08-20"/>
    <s v="Isabel Cruz"/>
    <x v="0"/>
    <x v="3"/>
    <x v="2"/>
    <s v="Binders"/>
    <s v="3-Ring Binder"/>
    <n v="1543.3"/>
    <n v="3"/>
    <n v="0.3"/>
    <n v="-24.82"/>
  </r>
  <r>
    <s v="ORD-0044"/>
    <s v="2023-05-01"/>
    <s v="2023-05-08"/>
    <s v="Henry Park"/>
    <x v="0"/>
    <x v="0"/>
    <x v="1"/>
    <s v="Computers"/>
    <s v="MacBook Air M2"/>
    <n v="2423.56"/>
    <n v="3"/>
    <n v="0"/>
    <n v="-76.38"/>
  </r>
  <r>
    <s v="ORD-0045"/>
    <s v="2023-08-01"/>
    <s v="2023-08-08"/>
    <s v="Carol White"/>
    <x v="0"/>
    <x v="0"/>
    <x v="2"/>
    <s v="Binders"/>
    <s v="3-Ring Binder"/>
    <n v="2160.67"/>
    <n v="7"/>
    <n v="0.1"/>
    <n v="237.37"/>
  </r>
  <r>
    <s v="ORD-0046"/>
    <s v="2023-08-06"/>
    <s v="2023-08-09"/>
    <s v="Henry Park"/>
    <x v="0"/>
    <x v="3"/>
    <x v="0"/>
    <s v="Furnishings"/>
    <s v="Picture Frame"/>
    <n v="169.65"/>
    <n v="4"/>
    <n v="0"/>
    <n v="22.49"/>
  </r>
  <r>
    <s v="ORD-0047"/>
    <s v="2023-11-10"/>
    <s v="2023-11-17"/>
    <s v="Leo Patel"/>
    <x v="2"/>
    <x v="1"/>
    <x v="2"/>
    <s v="Art"/>
    <s v="Watercolor Kit"/>
    <n v="2495.1"/>
    <n v="9"/>
    <n v="0.1"/>
    <n v="770.69"/>
  </r>
  <r>
    <s v="ORD-0048"/>
    <s v="2023-05-07"/>
    <s v="2023-05-14"/>
    <s v="Eva Green"/>
    <x v="1"/>
    <x v="3"/>
    <x v="1"/>
    <s v="Copiers"/>
    <s v="Canon Color Copier"/>
    <n v="1887.71"/>
    <n v="5"/>
    <n v="0.1"/>
    <n v="-35.880000000000003"/>
  </r>
  <r>
    <s v="ORD-0049"/>
    <s v="2023-06-13"/>
    <s v="2023-06-19"/>
    <s v="David Brown"/>
    <x v="1"/>
    <x v="1"/>
    <x v="0"/>
    <s v="Tables"/>
    <s v="Conference Table"/>
    <n v="469.48"/>
    <n v="7"/>
    <n v="0.3"/>
    <n v="5.22"/>
  </r>
  <r>
    <s v="ORD-0050"/>
    <s v="2023-06-19"/>
    <s v="2023-06-25"/>
    <s v="James Wong"/>
    <x v="0"/>
    <x v="0"/>
    <x v="1"/>
    <s v="Copiers"/>
    <s v="Brother AIO"/>
    <n v="205.55"/>
    <n v="7"/>
    <n v="0.1"/>
    <n v="64.12"/>
  </r>
  <r>
    <s v="ORD-0051"/>
    <s v="2023-07-14"/>
    <s v="2023-07-19"/>
    <s v="Leo Patel"/>
    <x v="0"/>
    <x v="2"/>
    <x v="0"/>
    <s v="Bookcases"/>
    <s v="5-Shelf Bookcase"/>
    <n v="909.87"/>
    <n v="7"/>
    <n v="0.1"/>
    <n v="150.38999999999999"/>
  </r>
  <r>
    <s v="ORD-0052"/>
    <s v="2023-04-23"/>
    <s v="2023-04-27"/>
    <s v="Grace Kim"/>
    <x v="0"/>
    <x v="2"/>
    <x v="1"/>
    <s v="Copiers"/>
    <s v="Canon Color Copier"/>
    <n v="106.49"/>
    <n v="6"/>
    <n v="0.3"/>
    <n v="23.6"/>
  </r>
  <r>
    <s v="ORD-0053"/>
    <s v="2023-03-07"/>
    <s v="2023-03-13"/>
    <s v="Bob Smith"/>
    <x v="0"/>
    <x v="1"/>
    <x v="2"/>
    <s v="Paper"/>
    <s v="A4 80gsm Ream"/>
    <n v="2722.65"/>
    <n v="10"/>
    <n v="0.2"/>
    <n v="585.91"/>
  </r>
  <r>
    <s v="ORD-0054"/>
    <s v="2023-08-25"/>
    <s v="2023-08-28"/>
    <s v="Grace Kim"/>
    <x v="2"/>
    <x v="1"/>
    <x v="0"/>
    <s v="Bookcases"/>
    <s v="5-Shelf Bookcase"/>
    <n v="1149.73"/>
    <n v="4"/>
    <n v="0.1"/>
    <n v="92.83"/>
  </r>
  <r>
    <s v="ORD-0055"/>
    <s v="2023-02-11"/>
    <s v="2023-02-16"/>
    <s v="Karen Singh"/>
    <x v="1"/>
    <x v="0"/>
    <x v="0"/>
    <s v="Chairs"/>
    <s v="Ergonomic Chair Pro"/>
    <n v="2999.73"/>
    <n v="6"/>
    <n v="0"/>
    <n v="630.12"/>
  </r>
  <r>
    <s v="ORD-0056"/>
    <s v="2023-04-13"/>
    <s v="2023-04-15"/>
    <s v="David Brown"/>
    <x v="2"/>
    <x v="3"/>
    <x v="2"/>
    <s v="Binders"/>
    <s v="Spiral Notebook"/>
    <n v="730.86"/>
    <n v="8"/>
    <n v="0.3"/>
    <n v="-3.1"/>
  </r>
  <r>
    <s v="ORD-0057"/>
    <s v="2023-03-27"/>
    <s v="2023-04-02"/>
    <s v="Alice Johnson"/>
    <x v="2"/>
    <x v="1"/>
    <x v="2"/>
    <s v="Paper"/>
    <s v="Premium Glossy Paper"/>
    <n v="2337.8200000000002"/>
    <n v="3"/>
    <n v="0"/>
    <n v="-15.8"/>
  </r>
  <r>
    <s v="ORD-0058"/>
    <s v="2023-04-12"/>
    <s v="2023-04-14"/>
    <s v="Bob Smith"/>
    <x v="0"/>
    <x v="0"/>
    <x v="2"/>
    <s v="Binders"/>
    <s v="Spiral Notebook"/>
    <n v="323.67"/>
    <n v="5"/>
    <n v="0.3"/>
    <n v="61.55"/>
  </r>
  <r>
    <s v="ORD-0059"/>
    <s v="2023-09-30"/>
    <s v="2023-10-05"/>
    <s v="Henry Park"/>
    <x v="1"/>
    <x v="1"/>
    <x v="2"/>
    <s v="Storage"/>
    <s v="Filing Cabinet"/>
    <n v="225.49"/>
    <n v="6"/>
    <n v="0"/>
    <n v="65.349999999999994"/>
  </r>
  <r>
    <s v="ORD-0060"/>
    <s v="2023-11-22"/>
    <s v="2023-11-27"/>
    <s v="Isabel Cruz"/>
    <x v="2"/>
    <x v="1"/>
    <x v="2"/>
    <s v="Binders"/>
    <s v="Spiral Notebook"/>
    <n v="1317.75"/>
    <n v="9"/>
    <n v="0.3"/>
    <n v="76.47"/>
  </r>
  <r>
    <s v="ORD-0061"/>
    <s v="2023-10-31"/>
    <s v="2023-11-04"/>
    <s v="David Brown"/>
    <x v="2"/>
    <x v="1"/>
    <x v="1"/>
    <s v="Computers"/>
    <s v="MacBook Air M2"/>
    <n v="2495.58"/>
    <n v="2"/>
    <n v="0"/>
    <n v="755.29"/>
  </r>
  <r>
    <s v="ORD-0062"/>
    <s v="2023-01-15"/>
    <s v="2023-01-20"/>
    <s v="James Wong"/>
    <x v="0"/>
    <x v="3"/>
    <x v="1"/>
    <s v="Computers"/>
    <s v="HP Desktop Tower"/>
    <n v="1472.9"/>
    <n v="6"/>
    <n v="0"/>
    <n v="126.87"/>
  </r>
  <r>
    <s v="ORD-0063"/>
    <s v="2023-01-06"/>
    <s v="2023-01-12"/>
    <s v="David Brown"/>
    <x v="0"/>
    <x v="1"/>
    <x v="0"/>
    <s v="Chairs"/>
    <s v="Executive Leather Chair"/>
    <n v="739.24"/>
    <n v="7"/>
    <n v="0.1"/>
    <n v="127.2"/>
  </r>
  <r>
    <s v="ORD-0064"/>
    <s v="2023-12-31"/>
    <s v="2024-01-05"/>
    <s v="Eva Green"/>
    <x v="0"/>
    <x v="3"/>
    <x v="1"/>
    <s v="Phones"/>
    <s v="iPhone 15 Pro"/>
    <n v="297.3"/>
    <n v="4"/>
    <n v="0.1"/>
    <n v="67.400000000000006"/>
  </r>
  <r>
    <s v="ORD-0065"/>
    <s v="2023-10-11"/>
    <s v="2023-10-17"/>
    <s v="Henry Park"/>
    <x v="2"/>
    <x v="3"/>
    <x v="1"/>
    <s v="Copiers"/>
    <s v="Canon Color Copier"/>
    <n v="2989.96"/>
    <n v="9"/>
    <n v="0"/>
    <n v="271.26"/>
  </r>
  <r>
    <s v="ORD-0066"/>
    <s v="2023-04-29"/>
    <s v="2023-05-01"/>
    <s v="David Brown"/>
    <x v="0"/>
    <x v="1"/>
    <x v="2"/>
    <s v="Binders"/>
    <s v="Spiral Notebook"/>
    <n v="960.33"/>
    <n v="9"/>
    <n v="0.3"/>
    <n v="23.11"/>
  </r>
  <r>
    <s v="ORD-0067"/>
    <s v="2023-10-29"/>
    <s v="2023-11-04"/>
    <s v="Carol White"/>
    <x v="2"/>
    <x v="0"/>
    <x v="2"/>
    <s v="Storage"/>
    <s v="Drawer Organizer"/>
    <n v="2941.92"/>
    <n v="4"/>
    <n v="0"/>
    <n v="120.6"/>
  </r>
  <r>
    <s v="ORD-0068"/>
    <s v="2023-10-01"/>
    <s v="2023-10-04"/>
    <s v="Carol White"/>
    <x v="0"/>
    <x v="1"/>
    <x v="1"/>
    <s v="Phones"/>
    <s v="Samsung Galaxy S24"/>
    <n v="2923.4"/>
    <n v="9"/>
    <n v="0"/>
    <n v="669.36"/>
  </r>
  <r>
    <s v="ORD-0069"/>
    <s v="2023-01-07"/>
    <s v="2023-01-13"/>
    <s v="Eva Green"/>
    <x v="2"/>
    <x v="0"/>
    <x v="1"/>
    <s v="Copiers"/>
    <s v="HP LaserJet Pro"/>
    <n v="1446.57"/>
    <n v="6"/>
    <n v="0"/>
    <n v="486.34"/>
  </r>
  <r>
    <s v="ORD-0070"/>
    <s v="2023-07-25"/>
    <s v="2023-07-30"/>
    <s v="David Brown"/>
    <x v="1"/>
    <x v="1"/>
    <x v="0"/>
    <s v="Chairs"/>
    <s v="Executive Leather Chair"/>
    <n v="472.15"/>
    <n v="10"/>
    <n v="0"/>
    <n v="-7.52"/>
  </r>
  <r>
    <s v="ORD-0071"/>
    <s v="2023-11-02"/>
    <s v="2023-11-08"/>
    <s v="Grace Kim"/>
    <x v="2"/>
    <x v="0"/>
    <x v="0"/>
    <s v="Furnishings"/>
    <s v="Curtains"/>
    <n v="1362.53"/>
    <n v="8"/>
    <n v="0"/>
    <n v="400.67"/>
  </r>
  <r>
    <s v="ORD-0072"/>
    <s v="2023-02-20"/>
    <s v="2023-02-23"/>
    <s v="Isabel Cruz"/>
    <x v="1"/>
    <x v="2"/>
    <x v="2"/>
    <s v="Binders"/>
    <s v="3-Ring Binder"/>
    <n v="808.65"/>
    <n v="2"/>
    <n v="0"/>
    <n v="37.15"/>
  </r>
  <r>
    <s v="ORD-0073"/>
    <s v="2023-07-29"/>
    <s v="2023-08-03"/>
    <s v="Eva Green"/>
    <x v="0"/>
    <x v="1"/>
    <x v="2"/>
    <s v="Labels"/>
    <s v="Address Labels"/>
    <n v="1420.34"/>
    <n v="1"/>
    <n v="0"/>
    <n v="92.67"/>
  </r>
  <r>
    <s v="ORD-0074"/>
    <s v="2023-12-18"/>
    <s v="2023-12-21"/>
    <s v="Eva Green"/>
    <x v="1"/>
    <x v="0"/>
    <x v="1"/>
    <s v="Computers"/>
    <s v="Dell Laptop 15"/>
    <n v="1286.9100000000001"/>
    <n v="9"/>
    <n v="0"/>
    <n v="269.02999999999997"/>
  </r>
  <r>
    <s v="ORD-0075"/>
    <s v="2023-03-26"/>
    <s v="2023-03-30"/>
    <s v="Eva Green"/>
    <x v="0"/>
    <x v="1"/>
    <x v="2"/>
    <s v="Labels"/>
    <s v="Color Dot Labels"/>
    <n v="2765.15"/>
    <n v="8"/>
    <n v="0"/>
    <n v="380.15"/>
  </r>
  <r>
    <s v="ORD-0076"/>
    <s v="2023-09-14"/>
    <s v="2023-09-20"/>
    <s v="James Wong"/>
    <x v="2"/>
    <x v="0"/>
    <x v="1"/>
    <s v="Copiers"/>
    <s v="HP LaserJet Pro"/>
    <n v="259.72000000000003"/>
    <n v="1"/>
    <n v="0.1"/>
    <n v="63.32"/>
  </r>
  <r>
    <s v="ORD-0077"/>
    <s v="2023-04-28"/>
    <s v="2023-05-05"/>
    <s v="Carol White"/>
    <x v="2"/>
    <x v="1"/>
    <x v="2"/>
    <s v="Labels"/>
    <s v="Color Dot Labels"/>
    <n v="2853.34"/>
    <n v="5"/>
    <n v="0.2"/>
    <n v="-96.75"/>
  </r>
  <r>
    <s v="ORD-0078"/>
    <s v="2023-04-03"/>
    <s v="2023-04-09"/>
    <s v="Frank Lee"/>
    <x v="0"/>
    <x v="0"/>
    <x v="1"/>
    <s v="Copiers"/>
    <s v="HP LaserJet Pro"/>
    <n v="2907.78"/>
    <n v="8"/>
    <n v="0"/>
    <n v="329.57"/>
  </r>
  <r>
    <s v="ORD-0079"/>
    <s v="2023-06-18"/>
    <s v="2023-06-23"/>
    <s v="Bob Smith"/>
    <x v="2"/>
    <x v="3"/>
    <x v="2"/>
    <s v="Art"/>
    <s v="Watercolor Kit"/>
    <n v="878.89"/>
    <n v="7"/>
    <n v="0.2"/>
    <n v="-31.04"/>
  </r>
  <r>
    <s v="ORD-0080"/>
    <s v="2023-03-01"/>
    <s v="2023-03-06"/>
    <s v="David Brown"/>
    <x v="0"/>
    <x v="3"/>
    <x v="2"/>
    <s v="Paper"/>
    <s v="Recycled Notepad"/>
    <n v="1979.83"/>
    <n v="9"/>
    <n v="0.1"/>
    <n v="228.27"/>
  </r>
  <r>
    <s v="ORD-0081"/>
    <s v="2023-09-13"/>
    <s v="2023-09-20"/>
    <s v="Henry Park"/>
    <x v="0"/>
    <x v="1"/>
    <x v="1"/>
    <s v="Phones"/>
    <s v="Samsung Galaxy S24"/>
    <n v="626.6"/>
    <n v="9"/>
    <n v="0"/>
    <n v="201.18"/>
  </r>
  <r>
    <s v="ORD-0082"/>
    <s v="2023-01-15"/>
    <s v="2023-01-22"/>
    <s v="Grace Kim"/>
    <x v="1"/>
    <x v="2"/>
    <x v="2"/>
    <s v="Binders"/>
    <s v="3-Ring Binder"/>
    <n v="2135.15"/>
    <n v="5"/>
    <n v="0.2"/>
    <n v="-95.08"/>
  </r>
  <r>
    <s v="ORD-0083"/>
    <s v="2023-08-25"/>
    <s v="2023-08-27"/>
    <s v="Grace Kim"/>
    <x v="2"/>
    <x v="1"/>
    <x v="2"/>
    <s v="Binders"/>
    <s v="3-Ring Binder"/>
    <n v="1505.16"/>
    <n v="5"/>
    <n v="0.2"/>
    <n v="349.44"/>
  </r>
  <r>
    <s v="ORD-0084"/>
    <s v="2023-08-22"/>
    <s v="2023-08-28"/>
    <s v="Carol White"/>
    <x v="1"/>
    <x v="3"/>
    <x v="0"/>
    <s v="Furnishings"/>
    <s v="Picture Frame"/>
    <n v="588.02"/>
    <n v="10"/>
    <n v="0.2"/>
    <n v="146.13"/>
  </r>
  <r>
    <s v="ORD-0085"/>
    <s v="2023-06-24"/>
    <s v="2023-06-30"/>
    <s v="Karen Singh"/>
    <x v="2"/>
    <x v="2"/>
    <x v="1"/>
    <s v="Phones"/>
    <s v="iPhone 15 Pro"/>
    <n v="862.86"/>
    <n v="5"/>
    <n v="0.2"/>
    <n v="157.01"/>
  </r>
  <r>
    <s v="ORD-0086"/>
    <s v="2023-10-03"/>
    <s v="2023-10-08"/>
    <s v="Frank Lee"/>
    <x v="1"/>
    <x v="2"/>
    <x v="1"/>
    <s v="Accessories"/>
    <s v="Keyboard Pro"/>
    <n v="1664.71"/>
    <n v="9"/>
    <n v="0.1"/>
    <n v="219.97"/>
  </r>
  <r>
    <s v="ORD-0087"/>
    <s v="2023-07-16"/>
    <s v="2023-07-19"/>
    <s v="Grace Kim"/>
    <x v="2"/>
    <x v="2"/>
    <x v="1"/>
    <s v="Phones"/>
    <s v="iPhone 15 Pro"/>
    <n v="968.17"/>
    <n v="8"/>
    <n v="0.3"/>
    <n v="305.33"/>
  </r>
  <r>
    <s v="ORD-0088"/>
    <s v="2023-01-19"/>
    <s v="2023-01-22"/>
    <s v="Henry Park"/>
    <x v="1"/>
    <x v="2"/>
    <x v="2"/>
    <s v="Labels"/>
    <s v="Color Dot Labels"/>
    <n v="1009.34"/>
    <n v="2"/>
    <n v="0.1"/>
    <n v="-10.210000000000001"/>
  </r>
  <r>
    <s v="ORD-0089"/>
    <s v="2023-12-02"/>
    <s v="2023-12-05"/>
    <s v="Grace Kim"/>
    <x v="0"/>
    <x v="0"/>
    <x v="0"/>
    <s v="Furnishings"/>
    <s v="Picture Frame"/>
    <n v="2348.9499999999998"/>
    <n v="5"/>
    <n v="0"/>
    <n v="468.15"/>
  </r>
  <r>
    <s v="ORD-0090"/>
    <s v="2023-12-12"/>
    <s v="2023-12-18"/>
    <s v="Bob Smith"/>
    <x v="1"/>
    <x v="3"/>
    <x v="1"/>
    <s v="Accessories"/>
    <s v="USB-C Hub"/>
    <n v="1887.86"/>
    <n v="8"/>
    <n v="0.2"/>
    <n v="-67.28"/>
  </r>
  <r>
    <s v="ORD-0091"/>
    <s v="2023-02-16"/>
    <s v="2023-02-21"/>
    <s v="Alice Johnson"/>
    <x v="2"/>
    <x v="3"/>
    <x v="0"/>
    <s v="Chairs"/>
    <s v="Mesh Task Chair"/>
    <n v="1342.16"/>
    <n v="5"/>
    <n v="0"/>
    <n v="-42.42"/>
  </r>
  <r>
    <s v="ORD-0092"/>
    <s v="2023-08-09"/>
    <s v="2023-08-12"/>
    <s v="James Wong"/>
    <x v="2"/>
    <x v="2"/>
    <x v="0"/>
    <s v="Furnishings"/>
    <s v="Picture Frame"/>
    <n v="1706.47"/>
    <n v="3"/>
    <n v="0"/>
    <n v="34.18"/>
  </r>
  <r>
    <s v="ORD-0093"/>
    <s v="2023-10-26"/>
    <s v="2023-10-29"/>
    <s v="Henry Park"/>
    <x v="2"/>
    <x v="2"/>
    <x v="0"/>
    <s v="Furnishings"/>
    <s v="Lamp Set"/>
    <n v="1920.96"/>
    <n v="8"/>
    <n v="0"/>
    <n v="416.34"/>
  </r>
  <r>
    <s v="ORD-0094"/>
    <s v="2023-08-15"/>
    <s v="2023-08-19"/>
    <s v="Eva Green"/>
    <x v="1"/>
    <x v="1"/>
    <x v="2"/>
    <s v="Storage"/>
    <s v="Filing Cabinet"/>
    <n v="1924.04"/>
    <n v="7"/>
    <n v="0.3"/>
    <n v="96.28"/>
  </r>
  <r>
    <s v="ORD-0095"/>
    <s v="2023-02-24"/>
    <s v="2023-02-27"/>
    <s v="Karen Singh"/>
    <x v="2"/>
    <x v="3"/>
    <x v="1"/>
    <s v="Accessories"/>
    <s v="USB-C Hub"/>
    <n v="1732.94"/>
    <n v="5"/>
    <n v="0"/>
    <n v="591.24"/>
  </r>
  <r>
    <s v="ORD-0096"/>
    <s v="2023-10-17"/>
    <s v="2023-10-24"/>
    <s v="David Brown"/>
    <x v="0"/>
    <x v="3"/>
    <x v="2"/>
    <s v="Paper"/>
    <s v="A4 80gsm Ream"/>
    <n v="2733.64"/>
    <n v="8"/>
    <n v="0"/>
    <n v="711.56"/>
  </r>
  <r>
    <s v="ORD-0097"/>
    <s v="2023-11-22"/>
    <s v="2023-11-25"/>
    <s v="Karen Singh"/>
    <x v="0"/>
    <x v="0"/>
    <x v="2"/>
    <s v="Storage"/>
    <s v="Filing Cabinet"/>
    <n v="2039.74"/>
    <n v="3"/>
    <n v="0.3"/>
    <n v="-22.71"/>
  </r>
  <r>
    <s v="ORD-0098"/>
    <s v="2023-08-14"/>
    <s v="2023-08-16"/>
    <s v="Grace Kim"/>
    <x v="1"/>
    <x v="2"/>
    <x v="2"/>
    <s v="Storage"/>
    <s v="Banker Box"/>
    <n v="2202.4299999999998"/>
    <n v="2"/>
    <n v="0"/>
    <n v="177.71"/>
  </r>
  <r>
    <s v="ORD-0099"/>
    <s v="2023-10-04"/>
    <s v="2023-10-08"/>
    <s v="Henry Park"/>
    <x v="2"/>
    <x v="3"/>
    <x v="2"/>
    <s v="Labels"/>
    <s v="Address Labels"/>
    <n v="2742.19"/>
    <n v="3"/>
    <n v="0"/>
    <n v="865.49"/>
  </r>
  <r>
    <s v="ORD-0100"/>
    <s v="2023-08-28"/>
    <s v="2023-08-30"/>
    <s v="Grace Kim"/>
    <x v="1"/>
    <x v="3"/>
    <x v="0"/>
    <s v="Tables"/>
    <s v="Folding Table"/>
    <n v="2583.2199999999998"/>
    <n v="7"/>
    <n v="0.2"/>
    <n v="248.79"/>
  </r>
  <r>
    <s v="ORD-0101"/>
    <s v="2023-03-05"/>
    <s v="2023-03-10"/>
    <s v="Henry Park"/>
    <x v="1"/>
    <x v="3"/>
    <x v="1"/>
    <s v="Accessories"/>
    <s v="Keyboard Pro"/>
    <n v="1761.99"/>
    <n v="6"/>
    <n v="0"/>
    <n v="387.52"/>
  </r>
  <r>
    <s v="ORD-0102"/>
    <s v="2023-04-24"/>
    <s v="2023-05-01"/>
    <s v="Carol White"/>
    <x v="1"/>
    <x v="0"/>
    <x v="0"/>
    <s v="Furnishings"/>
    <s v="Picture Frame"/>
    <n v="2729.98"/>
    <n v="5"/>
    <n v="0.3"/>
    <n v="309.36"/>
  </r>
  <r>
    <s v="ORD-0103"/>
    <s v="2023-09-10"/>
    <s v="2023-09-12"/>
    <s v="Karen Singh"/>
    <x v="0"/>
    <x v="1"/>
    <x v="0"/>
    <s v="Tables"/>
    <s v="Folding Table"/>
    <n v="2664.03"/>
    <n v="3"/>
    <n v="0.1"/>
    <n v="350.21"/>
  </r>
  <r>
    <s v="ORD-0104"/>
    <s v="2023-03-21"/>
    <s v="2023-03-26"/>
    <s v="Eva Green"/>
    <x v="1"/>
    <x v="3"/>
    <x v="2"/>
    <s v="Paper"/>
    <s v="A4 80gsm Ream"/>
    <n v="2504.41"/>
    <n v="10"/>
    <n v="0.1"/>
    <n v="815.49"/>
  </r>
  <r>
    <s v="ORD-0105"/>
    <s v="2023-08-16"/>
    <s v="2023-08-21"/>
    <s v="Karen Singh"/>
    <x v="2"/>
    <x v="0"/>
    <x v="0"/>
    <s v="Bookcases"/>
    <s v="5-Shelf Bookcase"/>
    <n v="316.08"/>
    <n v="6"/>
    <n v="0.2"/>
    <n v="98.2"/>
  </r>
  <r>
    <s v="ORD-0106"/>
    <s v="2023-05-22"/>
    <s v="2023-05-25"/>
    <s v="Alice Johnson"/>
    <x v="1"/>
    <x v="3"/>
    <x v="0"/>
    <s v="Furnishings"/>
    <s v="Lamp Set"/>
    <n v="293.19"/>
    <n v="4"/>
    <n v="0.3"/>
    <n v="60.34"/>
  </r>
  <r>
    <s v="ORD-0107"/>
    <s v="2023-03-06"/>
    <s v="2023-03-12"/>
    <s v="David Brown"/>
    <x v="2"/>
    <x v="2"/>
    <x v="0"/>
    <s v="Chairs"/>
    <s v="Executive Leather Chair"/>
    <n v="2492.86"/>
    <n v="9"/>
    <n v="0"/>
    <n v="460.07"/>
  </r>
  <r>
    <s v="ORD-0108"/>
    <s v="2023-01-02"/>
    <s v="2023-01-06"/>
    <s v="Alice Johnson"/>
    <x v="1"/>
    <x v="0"/>
    <x v="0"/>
    <s v="Tables"/>
    <s v="Conference Table"/>
    <n v="1629.84"/>
    <n v="3"/>
    <n v="0"/>
    <n v="349.48"/>
  </r>
  <r>
    <s v="ORD-0109"/>
    <s v="2023-05-02"/>
    <s v="2023-05-08"/>
    <s v="Isabel Cruz"/>
    <x v="1"/>
    <x v="0"/>
    <x v="1"/>
    <s v="Phones"/>
    <s v="iPhone 15 Pro"/>
    <n v="539.25"/>
    <n v="1"/>
    <n v="0"/>
    <n v="133.03"/>
  </r>
  <r>
    <s v="ORD-0110"/>
    <s v="2023-08-18"/>
    <s v="2023-08-22"/>
    <s v="Alice Johnson"/>
    <x v="0"/>
    <x v="3"/>
    <x v="2"/>
    <s v="Labels"/>
    <s v="Color Dot Labels"/>
    <n v="344.98"/>
    <n v="9"/>
    <n v="0"/>
    <n v="113.21"/>
  </r>
  <r>
    <s v="ORD-0111"/>
    <s v="2023-11-26"/>
    <s v="2023-11-28"/>
    <s v="Leo Patel"/>
    <x v="2"/>
    <x v="0"/>
    <x v="0"/>
    <s v="Furnishings"/>
    <s v="Lamp Set"/>
    <n v="2544.9499999999998"/>
    <n v="7"/>
    <n v="0.3"/>
    <n v="-17.34"/>
  </r>
  <r>
    <s v="ORD-0112"/>
    <s v="2023-06-14"/>
    <s v="2023-06-20"/>
    <s v="Leo Patel"/>
    <x v="2"/>
    <x v="1"/>
    <x v="0"/>
    <s v="Chairs"/>
    <s v="Executive Leather Chair"/>
    <n v="396.05"/>
    <n v="10"/>
    <n v="0.3"/>
    <n v="72.930000000000007"/>
  </r>
  <r>
    <s v="ORD-0113"/>
    <s v="2023-09-29"/>
    <s v="2023-10-03"/>
    <s v="Isabel Cruz"/>
    <x v="0"/>
    <x v="2"/>
    <x v="1"/>
    <s v="Copiers"/>
    <s v="Canon Color Copier"/>
    <n v="315.55"/>
    <n v="2"/>
    <n v="0.3"/>
    <n v="66.38"/>
  </r>
  <r>
    <s v="ORD-0114"/>
    <s v="2023-08-20"/>
    <s v="2023-08-23"/>
    <s v="Frank Lee"/>
    <x v="2"/>
    <x v="3"/>
    <x v="1"/>
    <s v="Accessories"/>
    <s v="Keyboard Pro"/>
    <n v="2485.71"/>
    <n v="7"/>
    <n v="0.1"/>
    <n v="601.16"/>
  </r>
  <r>
    <s v="ORD-0115"/>
    <s v="2023-05-11"/>
    <s v="2023-05-15"/>
    <s v="Leo Patel"/>
    <x v="0"/>
    <x v="3"/>
    <x v="0"/>
    <s v="Furnishings"/>
    <s v="Lamp Set"/>
    <n v="220.06"/>
    <n v="2"/>
    <n v="0"/>
    <n v="27.01"/>
  </r>
  <r>
    <s v="ORD-0116"/>
    <s v="2023-10-12"/>
    <s v="2023-10-14"/>
    <s v="Karen Singh"/>
    <x v="2"/>
    <x v="0"/>
    <x v="2"/>
    <s v="Labels"/>
    <s v="Color Dot Labels"/>
    <n v="1693.82"/>
    <n v="2"/>
    <n v="0.1"/>
    <n v="154.88"/>
  </r>
  <r>
    <s v="ORD-0117"/>
    <s v="2023-11-04"/>
    <s v="2023-11-08"/>
    <s v="David Brown"/>
    <x v="1"/>
    <x v="3"/>
    <x v="1"/>
    <s v="Phones"/>
    <s v="Pixel 8"/>
    <n v="1742.2"/>
    <n v="4"/>
    <n v="0"/>
    <n v="370.56"/>
  </r>
  <r>
    <s v="ORD-0118"/>
    <s v="2023-07-08"/>
    <s v="2023-07-10"/>
    <s v="Karen Singh"/>
    <x v="0"/>
    <x v="0"/>
    <x v="1"/>
    <s v="Computers"/>
    <s v="HP Desktop Tower"/>
    <n v="2425.52"/>
    <n v="9"/>
    <n v="0.2"/>
    <n v="474.02"/>
  </r>
  <r>
    <s v="ORD-0119"/>
    <s v="2023-12-03"/>
    <s v="2023-12-10"/>
    <s v="Carol White"/>
    <x v="1"/>
    <x v="1"/>
    <x v="1"/>
    <s v="Phones"/>
    <s v="Samsung Galaxy S24"/>
    <n v="557.64"/>
    <n v="5"/>
    <n v="0"/>
    <n v="50.42"/>
  </r>
  <r>
    <s v="ORD-0120"/>
    <s v="2023-03-14"/>
    <s v="2023-03-21"/>
    <s v="Henry Park"/>
    <x v="2"/>
    <x v="2"/>
    <x v="2"/>
    <s v="Paper"/>
    <s v="Premium Glossy Paper"/>
    <n v="293.44"/>
    <n v="9"/>
    <n v="0"/>
    <n v="29.48"/>
  </r>
  <r>
    <s v="ORD-0121"/>
    <s v="2023-06-09"/>
    <s v="2023-06-16"/>
    <s v="Alice Johnson"/>
    <x v="0"/>
    <x v="0"/>
    <x v="1"/>
    <s v="Phones"/>
    <s v="iPhone 15 Pro"/>
    <n v="2652.36"/>
    <n v="3"/>
    <n v="0"/>
    <n v="667.8"/>
  </r>
  <r>
    <s v="ORD-0122"/>
    <s v="2023-08-15"/>
    <s v="2023-08-22"/>
    <s v="Isabel Cruz"/>
    <x v="1"/>
    <x v="3"/>
    <x v="1"/>
    <s v="Copiers"/>
    <s v="Canon Color Copier"/>
    <n v="1829.09"/>
    <n v="7"/>
    <n v="0"/>
    <n v="66.260000000000005"/>
  </r>
  <r>
    <s v="ORD-0123"/>
    <s v="2023-02-26"/>
    <s v="2023-03-02"/>
    <s v="James Wong"/>
    <x v="1"/>
    <x v="0"/>
    <x v="2"/>
    <s v="Labels"/>
    <s v="Address Labels"/>
    <n v="1470.17"/>
    <n v="5"/>
    <n v="0"/>
    <n v="56.17"/>
  </r>
  <r>
    <s v="ORD-0124"/>
    <s v="2023-06-04"/>
    <s v="2023-06-07"/>
    <s v="Grace Kim"/>
    <x v="1"/>
    <x v="2"/>
    <x v="0"/>
    <s v="Bookcases"/>
    <s v="5-Shelf Bookcase"/>
    <n v="882.55"/>
    <n v="2"/>
    <n v="0"/>
    <n v="131.46"/>
  </r>
  <r>
    <s v="ORD-0125"/>
    <s v="2023-09-30"/>
    <s v="2023-10-07"/>
    <s v="Bob Smith"/>
    <x v="2"/>
    <x v="1"/>
    <x v="0"/>
    <s v="Bookcases"/>
    <s v="Glass Door Cabinet"/>
    <n v="234.78"/>
    <n v="1"/>
    <n v="0.1"/>
    <n v="-9.98"/>
  </r>
  <r>
    <s v="ORD-0126"/>
    <s v="2023-07-27"/>
    <s v="2023-08-03"/>
    <s v="Carol White"/>
    <x v="0"/>
    <x v="1"/>
    <x v="2"/>
    <s v="Art"/>
    <s v="Sketch Pad"/>
    <n v="882.76"/>
    <n v="7"/>
    <n v="0"/>
    <n v="297.02999999999997"/>
  </r>
  <r>
    <s v="ORD-0127"/>
    <s v="2023-07-05"/>
    <s v="2023-07-07"/>
    <s v="Grace Kim"/>
    <x v="2"/>
    <x v="3"/>
    <x v="1"/>
    <s v="Phones"/>
    <s v="Samsung Galaxy S24"/>
    <n v="745.08"/>
    <n v="10"/>
    <n v="0.1"/>
    <n v="118.9"/>
  </r>
  <r>
    <s v="ORD-0128"/>
    <s v="2023-06-20"/>
    <s v="2023-06-23"/>
    <s v="Karen Singh"/>
    <x v="1"/>
    <x v="2"/>
    <x v="0"/>
    <s v="Chairs"/>
    <s v="Ergonomic Chair Pro"/>
    <n v="1601.2"/>
    <n v="4"/>
    <n v="0"/>
    <n v="144.81"/>
  </r>
  <r>
    <s v="ORD-0129"/>
    <s v="2023-03-16"/>
    <s v="2023-03-20"/>
    <s v="Karen Singh"/>
    <x v="2"/>
    <x v="1"/>
    <x v="0"/>
    <s v="Tables"/>
    <s v="Folding Table"/>
    <n v="1815.15"/>
    <n v="2"/>
    <n v="0"/>
    <n v="599.94000000000005"/>
  </r>
  <r>
    <s v="ORD-0130"/>
    <s v="2023-10-24"/>
    <s v="2023-10-29"/>
    <s v="Karen Singh"/>
    <x v="2"/>
    <x v="2"/>
    <x v="2"/>
    <s v="Labels"/>
    <s v="Color Dot Labels"/>
    <n v="1936.12"/>
    <n v="10"/>
    <n v="0"/>
    <n v="572.51"/>
  </r>
  <r>
    <s v="ORD-0131"/>
    <s v="2023-02-04"/>
    <s v="2023-02-09"/>
    <s v="Bob Smith"/>
    <x v="2"/>
    <x v="1"/>
    <x v="1"/>
    <s v="Accessories"/>
    <s v="Wireless Mouse"/>
    <n v="2393.06"/>
    <n v="10"/>
    <n v="0"/>
    <n v="217.23"/>
  </r>
  <r>
    <s v="ORD-0132"/>
    <s v="2023-01-20"/>
    <s v="2023-01-22"/>
    <s v="Grace Kim"/>
    <x v="2"/>
    <x v="0"/>
    <x v="1"/>
    <s v="Accessories"/>
    <s v="Wireless Mouse"/>
    <n v="248.66"/>
    <n v="2"/>
    <n v="0.2"/>
    <n v="46.66"/>
  </r>
  <r>
    <s v="ORD-0133"/>
    <s v="2023-10-20"/>
    <s v="2023-10-27"/>
    <s v="Henry Park"/>
    <x v="1"/>
    <x v="3"/>
    <x v="0"/>
    <s v="Bookcases"/>
    <s v="Glass Door Cabinet"/>
    <n v="1822.92"/>
    <n v="9"/>
    <n v="0"/>
    <n v="607.19000000000005"/>
  </r>
  <r>
    <s v="ORD-0134"/>
    <s v="2023-02-13"/>
    <s v="2023-02-19"/>
    <s v="James Wong"/>
    <x v="1"/>
    <x v="3"/>
    <x v="2"/>
    <s v="Binders"/>
    <s v="Spiral Notebook"/>
    <n v="136.63999999999999"/>
    <n v="8"/>
    <n v="0.1"/>
    <n v="21.81"/>
  </r>
  <r>
    <s v="ORD-0135"/>
    <s v="2023-05-25"/>
    <s v="2023-05-30"/>
    <s v="Bob Smith"/>
    <x v="2"/>
    <x v="0"/>
    <x v="1"/>
    <s v="Accessories"/>
    <s v="Keyboard Pro"/>
    <n v="2043.12"/>
    <n v="1"/>
    <n v="0.3"/>
    <n v="426.85"/>
  </r>
  <r>
    <s v="ORD-0136"/>
    <s v="2023-12-14"/>
    <s v="2023-12-19"/>
    <s v="James Wong"/>
    <x v="0"/>
    <x v="2"/>
    <x v="1"/>
    <s v="Accessories"/>
    <s v="Wireless Mouse"/>
    <n v="2176.73"/>
    <n v="10"/>
    <n v="0"/>
    <n v="181.42"/>
  </r>
  <r>
    <s v="ORD-0137"/>
    <s v="2023-06-08"/>
    <s v="2023-06-15"/>
    <s v="Karen Singh"/>
    <x v="2"/>
    <x v="2"/>
    <x v="2"/>
    <s v="Art"/>
    <s v="Sketch Pad"/>
    <n v="404.28"/>
    <n v="2"/>
    <n v="0"/>
    <n v="70.17"/>
  </r>
  <r>
    <s v="ORD-0138"/>
    <s v="2023-12-26"/>
    <s v="2024-01-02"/>
    <s v="Frank Lee"/>
    <x v="2"/>
    <x v="2"/>
    <x v="2"/>
    <s v="Labels"/>
    <s v="Address Labels"/>
    <n v="298.49"/>
    <n v="7"/>
    <n v="0.2"/>
    <n v="28.28"/>
  </r>
  <r>
    <s v="ORD-0139"/>
    <s v="2023-06-24"/>
    <s v="2023-06-29"/>
    <s v="Bob Smith"/>
    <x v="0"/>
    <x v="0"/>
    <x v="0"/>
    <s v="Tables"/>
    <s v="Folding Table"/>
    <n v="2999.93"/>
    <n v="3"/>
    <n v="0"/>
    <n v="204.95"/>
  </r>
  <r>
    <s v="ORD-0140"/>
    <s v="2023-06-22"/>
    <s v="2023-06-28"/>
    <s v="Carol White"/>
    <x v="0"/>
    <x v="1"/>
    <x v="0"/>
    <s v="Furnishings"/>
    <s v="Lamp Set"/>
    <n v="479.67"/>
    <n v="3"/>
    <n v="0.3"/>
    <n v="123.97"/>
  </r>
  <r>
    <s v="ORD-0141"/>
    <s v="2023-07-30"/>
    <s v="2023-08-03"/>
    <s v="Henry Park"/>
    <x v="1"/>
    <x v="2"/>
    <x v="2"/>
    <s v="Binders"/>
    <s v="Spiral Notebook"/>
    <n v="2909.37"/>
    <n v="10"/>
    <n v="0"/>
    <n v="730.13"/>
  </r>
  <r>
    <s v="ORD-0142"/>
    <s v="2023-08-29"/>
    <s v="2023-09-01"/>
    <s v="Grace Kim"/>
    <x v="1"/>
    <x v="2"/>
    <x v="1"/>
    <s v="Copiers"/>
    <s v="Brother AIO"/>
    <n v="1395.81"/>
    <n v="5"/>
    <n v="0.1"/>
    <n v="210.99"/>
  </r>
  <r>
    <s v="ORD-0143"/>
    <s v="2023-03-12"/>
    <s v="2023-03-16"/>
    <s v="Isabel Cruz"/>
    <x v="1"/>
    <x v="3"/>
    <x v="0"/>
    <s v="Furnishings"/>
    <s v="Lamp Set"/>
    <n v="2624.87"/>
    <n v="9"/>
    <n v="0"/>
    <n v="615.69000000000005"/>
  </r>
  <r>
    <s v="ORD-0144"/>
    <s v="2023-03-24"/>
    <s v="2023-03-28"/>
    <s v="Frank Lee"/>
    <x v="1"/>
    <x v="1"/>
    <x v="1"/>
    <s v="Computers"/>
    <s v="Dell Laptop 15"/>
    <n v="2496.52"/>
    <n v="2"/>
    <n v="0"/>
    <n v="690.74"/>
  </r>
  <r>
    <s v="ORD-0145"/>
    <s v="2023-07-22"/>
    <s v="2023-07-28"/>
    <s v="Frank Lee"/>
    <x v="1"/>
    <x v="3"/>
    <x v="1"/>
    <s v="Computers"/>
    <s v="Dell Laptop 15"/>
    <n v="1170.78"/>
    <n v="2"/>
    <n v="0"/>
    <n v="46.62"/>
  </r>
  <r>
    <s v="ORD-0146"/>
    <s v="2023-03-12"/>
    <s v="2023-03-14"/>
    <s v="James Wong"/>
    <x v="1"/>
    <x v="0"/>
    <x v="1"/>
    <s v="Copiers"/>
    <s v="HP LaserJet Pro"/>
    <n v="2094.29"/>
    <n v="3"/>
    <n v="0.3"/>
    <n v="288.27"/>
  </r>
  <r>
    <s v="ORD-0147"/>
    <s v="2023-05-12"/>
    <s v="2023-05-15"/>
    <s v="Alice Johnson"/>
    <x v="1"/>
    <x v="1"/>
    <x v="0"/>
    <s v="Furnishings"/>
    <s v="Curtains"/>
    <n v="351.34"/>
    <n v="5"/>
    <n v="0"/>
    <n v="24.76"/>
  </r>
  <r>
    <s v="ORD-0148"/>
    <s v="2023-11-15"/>
    <s v="2023-11-20"/>
    <s v="Karen Singh"/>
    <x v="0"/>
    <x v="2"/>
    <x v="0"/>
    <s v="Chairs"/>
    <s v="Executive Leather Chair"/>
    <n v="2513.33"/>
    <n v="8"/>
    <n v="0.2"/>
    <n v="413.25"/>
  </r>
  <r>
    <s v="ORD-0149"/>
    <s v="2023-03-15"/>
    <s v="2023-03-19"/>
    <s v="Karen Singh"/>
    <x v="0"/>
    <x v="0"/>
    <x v="1"/>
    <s v="Phones"/>
    <s v="Pixel 8"/>
    <n v="1852.13"/>
    <n v="4"/>
    <n v="0.2"/>
    <n v="216.01"/>
  </r>
  <r>
    <s v="ORD-0150"/>
    <s v="2023-07-04"/>
    <s v="2023-07-06"/>
    <s v="Henry Park"/>
    <x v="1"/>
    <x v="1"/>
    <x v="2"/>
    <s v="Labels"/>
    <s v="Color Dot Labels"/>
    <n v="1531.84"/>
    <n v="9"/>
    <n v="0.2"/>
    <n v="-64.13"/>
  </r>
  <r>
    <s v="ORD-0151"/>
    <s v="2023-05-10"/>
    <s v="2023-05-17"/>
    <s v="Karen Singh"/>
    <x v="1"/>
    <x v="3"/>
    <x v="0"/>
    <s v="Bookcases"/>
    <s v="3-Shelf Bookcase"/>
    <n v="2369.79"/>
    <n v="6"/>
    <n v="0"/>
    <n v="576.28"/>
  </r>
  <r>
    <s v="ORD-0152"/>
    <s v="2023-01-23"/>
    <s v="2023-01-27"/>
    <s v="Leo Patel"/>
    <x v="2"/>
    <x v="2"/>
    <x v="2"/>
    <s v="Storage"/>
    <s v="Banker Box"/>
    <n v="2444.2600000000002"/>
    <n v="3"/>
    <n v="0.3"/>
    <n v="332.05"/>
  </r>
  <r>
    <s v="ORD-0153"/>
    <s v="2023-02-02"/>
    <s v="2023-02-09"/>
    <s v="Frank Lee"/>
    <x v="2"/>
    <x v="1"/>
    <x v="1"/>
    <s v="Phones"/>
    <s v="Pixel 8"/>
    <n v="894.46"/>
    <n v="1"/>
    <n v="0"/>
    <n v="272.2"/>
  </r>
  <r>
    <s v="ORD-0154"/>
    <s v="2023-08-31"/>
    <s v="2023-09-04"/>
    <s v="Bob Smith"/>
    <x v="2"/>
    <x v="1"/>
    <x v="0"/>
    <s v="Tables"/>
    <s v="Conference Table"/>
    <n v="872.61"/>
    <n v="1"/>
    <n v="0.3"/>
    <n v="72.23"/>
  </r>
  <r>
    <s v="ORD-0155"/>
    <s v="2023-08-14"/>
    <s v="2023-08-19"/>
    <s v="Isabel Cruz"/>
    <x v="2"/>
    <x v="0"/>
    <x v="1"/>
    <s v="Computers"/>
    <s v="HP Desktop Tower"/>
    <n v="1498.69"/>
    <n v="8"/>
    <n v="0"/>
    <n v="479.17"/>
  </r>
  <r>
    <s v="ORD-0156"/>
    <s v="2023-08-06"/>
    <s v="2023-08-08"/>
    <s v="Karen Singh"/>
    <x v="2"/>
    <x v="3"/>
    <x v="1"/>
    <s v="Computers"/>
    <s v="MacBook Air M2"/>
    <n v="1645.51"/>
    <n v="6"/>
    <n v="0"/>
    <n v="-29.57"/>
  </r>
  <r>
    <s v="ORD-0157"/>
    <s v="2023-11-05"/>
    <s v="2023-11-12"/>
    <s v="Frank Lee"/>
    <x v="0"/>
    <x v="1"/>
    <x v="1"/>
    <s v="Computers"/>
    <s v="MacBook Air M2"/>
    <n v="2075.5"/>
    <n v="6"/>
    <n v="0.1"/>
    <n v="-68.61"/>
  </r>
  <r>
    <s v="ORD-0158"/>
    <s v="2023-11-24"/>
    <s v="2023-11-26"/>
    <s v="James Wong"/>
    <x v="0"/>
    <x v="1"/>
    <x v="0"/>
    <s v="Furnishings"/>
    <s v="Lamp Set"/>
    <n v="1102.67"/>
    <n v="3"/>
    <n v="0"/>
    <n v="7.84"/>
  </r>
  <r>
    <s v="ORD-0159"/>
    <s v="2023-03-06"/>
    <s v="2023-03-08"/>
    <s v="Karen Singh"/>
    <x v="2"/>
    <x v="3"/>
    <x v="0"/>
    <s v="Bookcases"/>
    <s v="5-Shelf Bookcase"/>
    <n v="1099.21"/>
    <n v="10"/>
    <n v="0"/>
    <n v="211.09"/>
  </r>
  <r>
    <s v="ORD-0160"/>
    <s v="2023-08-16"/>
    <s v="2023-08-18"/>
    <s v="David Brown"/>
    <x v="1"/>
    <x v="0"/>
    <x v="2"/>
    <s v="Binders"/>
    <s v="Portfolio Folder"/>
    <n v="1597.79"/>
    <n v="7"/>
    <n v="0"/>
    <n v="335.26"/>
  </r>
  <r>
    <s v="ORD-0161"/>
    <s v="2023-04-06"/>
    <s v="2023-04-11"/>
    <s v="Leo Patel"/>
    <x v="2"/>
    <x v="2"/>
    <x v="2"/>
    <s v="Art"/>
    <s v="Sketch Pad"/>
    <n v="2742.36"/>
    <n v="2"/>
    <n v="0"/>
    <n v="712.97"/>
  </r>
  <r>
    <s v="ORD-0162"/>
    <s v="2023-05-27"/>
    <s v="2023-06-03"/>
    <s v="Leo Patel"/>
    <x v="2"/>
    <x v="0"/>
    <x v="1"/>
    <s v="Computers"/>
    <s v="HP Desktop Tower"/>
    <n v="385.46"/>
    <n v="2"/>
    <n v="0.1"/>
    <n v="7.35"/>
  </r>
  <r>
    <s v="ORD-0163"/>
    <s v="2023-06-13"/>
    <s v="2023-06-20"/>
    <s v="Leo Patel"/>
    <x v="0"/>
    <x v="2"/>
    <x v="1"/>
    <s v="Phones"/>
    <s v="iPhone 15 Pro"/>
    <n v="1658.99"/>
    <n v="5"/>
    <n v="0"/>
    <n v="482.01"/>
  </r>
  <r>
    <s v="ORD-0164"/>
    <s v="2023-09-18"/>
    <s v="2023-09-21"/>
    <s v="Isabel Cruz"/>
    <x v="0"/>
    <x v="3"/>
    <x v="0"/>
    <s v="Tables"/>
    <s v="Conference Table"/>
    <n v="2380.36"/>
    <n v="4"/>
    <n v="0.1"/>
    <n v="-93.99"/>
  </r>
  <r>
    <s v="ORD-0165"/>
    <s v="2023-10-10"/>
    <s v="2023-10-13"/>
    <s v="Isabel Cruz"/>
    <x v="2"/>
    <x v="1"/>
    <x v="2"/>
    <s v="Paper"/>
    <s v="Recycled Notepad"/>
    <n v="215.93"/>
    <n v="7"/>
    <n v="0.3"/>
    <n v="51.29"/>
  </r>
  <r>
    <s v="ORD-0166"/>
    <s v="2023-02-07"/>
    <s v="2023-02-10"/>
    <s v="Isabel Cruz"/>
    <x v="0"/>
    <x v="2"/>
    <x v="1"/>
    <s v="Phones"/>
    <s v="Samsung Galaxy S24"/>
    <n v="1360.92"/>
    <n v="9"/>
    <n v="0"/>
    <n v="1.82"/>
  </r>
  <r>
    <s v="ORD-0167"/>
    <s v="2023-08-10"/>
    <s v="2023-08-16"/>
    <s v="Leo Patel"/>
    <x v="1"/>
    <x v="3"/>
    <x v="0"/>
    <s v="Chairs"/>
    <s v="Executive Leather Chair"/>
    <n v="1563.94"/>
    <n v="5"/>
    <n v="0"/>
    <n v="23.13"/>
  </r>
  <r>
    <s v="ORD-0168"/>
    <s v="2023-05-26"/>
    <s v="2023-05-28"/>
    <s v="Eva Green"/>
    <x v="0"/>
    <x v="0"/>
    <x v="1"/>
    <s v="Computers"/>
    <s v="HP Desktop Tower"/>
    <n v="1912.47"/>
    <n v="9"/>
    <n v="0"/>
    <n v="0.13"/>
  </r>
  <r>
    <s v="ORD-0169"/>
    <s v="2023-11-25"/>
    <s v="2023-11-28"/>
    <s v="Frank Lee"/>
    <x v="0"/>
    <x v="0"/>
    <x v="2"/>
    <s v="Labels"/>
    <s v="Address Labels"/>
    <n v="479.5"/>
    <n v="10"/>
    <n v="0.3"/>
    <n v="149.03"/>
  </r>
  <r>
    <s v="ORD-0170"/>
    <s v="2023-02-11"/>
    <s v="2023-02-13"/>
    <s v="Karen Singh"/>
    <x v="1"/>
    <x v="1"/>
    <x v="2"/>
    <s v="Labels"/>
    <s v="File Folder Labels"/>
    <n v="808.67"/>
    <n v="4"/>
    <n v="0.2"/>
    <n v="94.32"/>
  </r>
  <r>
    <s v="ORD-0171"/>
    <s v="2023-10-07"/>
    <s v="2023-10-11"/>
    <s v="Leo Patel"/>
    <x v="1"/>
    <x v="2"/>
    <x v="2"/>
    <s v="Storage"/>
    <s v="Filing Cabinet"/>
    <n v="1459.18"/>
    <n v="7"/>
    <n v="0"/>
    <n v="191.76"/>
  </r>
  <r>
    <s v="ORD-0172"/>
    <s v="2023-08-01"/>
    <s v="2023-08-06"/>
    <s v="Frank Lee"/>
    <x v="0"/>
    <x v="3"/>
    <x v="1"/>
    <s v="Computers"/>
    <s v="MacBook Air M2"/>
    <n v="1033.77"/>
    <n v="3"/>
    <n v="0"/>
    <n v="304.54000000000002"/>
  </r>
  <r>
    <s v="ORD-0173"/>
    <s v="2023-03-08"/>
    <s v="2023-03-12"/>
    <s v="Henry Park"/>
    <x v="1"/>
    <x v="2"/>
    <x v="2"/>
    <s v="Labels"/>
    <s v="Address Labels"/>
    <n v="336.43"/>
    <n v="4"/>
    <n v="0.1"/>
    <n v="-0.33"/>
  </r>
  <r>
    <s v="ORD-0174"/>
    <s v="2023-01-26"/>
    <s v="2023-01-30"/>
    <s v="Leo Patel"/>
    <x v="2"/>
    <x v="2"/>
    <x v="1"/>
    <s v="Copiers"/>
    <s v="HP LaserJet Pro"/>
    <n v="759.85"/>
    <n v="3"/>
    <n v="0"/>
    <n v="245.81"/>
  </r>
  <r>
    <s v="ORD-0175"/>
    <s v="2023-09-13"/>
    <s v="2023-09-19"/>
    <s v="Grace Kim"/>
    <x v="0"/>
    <x v="1"/>
    <x v="1"/>
    <s v="Copiers"/>
    <s v="HP LaserJet Pro"/>
    <n v="2639.65"/>
    <n v="8"/>
    <n v="0"/>
    <n v="-36.9"/>
  </r>
  <r>
    <s v="ORD-0176"/>
    <s v="2023-04-21"/>
    <s v="2023-04-27"/>
    <s v="Karen Singh"/>
    <x v="0"/>
    <x v="1"/>
    <x v="1"/>
    <s v="Phones"/>
    <s v="iPhone 15 Pro"/>
    <n v="170.61"/>
    <n v="8"/>
    <n v="0.2"/>
    <n v="51.68"/>
  </r>
  <r>
    <s v="ORD-0177"/>
    <s v="2023-10-02"/>
    <s v="2023-10-04"/>
    <s v="Grace Kim"/>
    <x v="2"/>
    <x v="0"/>
    <x v="0"/>
    <s v="Furnishings"/>
    <s v="Picture Frame"/>
    <n v="419.13"/>
    <n v="5"/>
    <n v="0.3"/>
    <n v="40.369999999999997"/>
  </r>
  <r>
    <s v="ORD-0178"/>
    <s v="2023-01-27"/>
    <s v="2023-02-02"/>
    <s v="Henry Park"/>
    <x v="0"/>
    <x v="3"/>
    <x v="2"/>
    <s v="Binders"/>
    <s v="Portfolio Folder"/>
    <n v="1100.32"/>
    <n v="5"/>
    <n v="0"/>
    <n v="115.03"/>
  </r>
  <r>
    <s v="ORD-0179"/>
    <s v="2023-12-15"/>
    <s v="2023-12-21"/>
    <s v="Frank Lee"/>
    <x v="0"/>
    <x v="3"/>
    <x v="0"/>
    <s v="Tables"/>
    <s v="Adjustable Standing Desk"/>
    <n v="2925.75"/>
    <n v="7"/>
    <n v="0"/>
    <n v="783.98"/>
  </r>
  <r>
    <s v="ORD-0180"/>
    <s v="2023-04-12"/>
    <s v="2023-04-18"/>
    <s v="Frank Lee"/>
    <x v="2"/>
    <x v="1"/>
    <x v="2"/>
    <s v="Art"/>
    <s v="Marker Set"/>
    <n v="1510.23"/>
    <n v="1"/>
    <n v="0"/>
    <n v="7.27"/>
  </r>
  <r>
    <s v="ORD-0181"/>
    <s v="2023-11-07"/>
    <s v="2023-11-13"/>
    <s v="James Wong"/>
    <x v="0"/>
    <x v="3"/>
    <x v="0"/>
    <s v="Bookcases"/>
    <s v="Glass Door Cabinet"/>
    <n v="2795.48"/>
    <n v="6"/>
    <n v="0"/>
    <n v="299.62"/>
  </r>
  <r>
    <s v="ORD-0182"/>
    <s v="2023-06-22"/>
    <s v="2023-06-28"/>
    <s v="Alice Johnson"/>
    <x v="2"/>
    <x v="3"/>
    <x v="2"/>
    <s v="Labels"/>
    <s v="File Folder Labels"/>
    <n v="1479.74"/>
    <n v="10"/>
    <n v="0"/>
    <n v="207.1"/>
  </r>
  <r>
    <s v="ORD-0183"/>
    <s v="2023-02-26"/>
    <s v="2023-03-03"/>
    <s v="Karen Singh"/>
    <x v="0"/>
    <x v="2"/>
    <x v="2"/>
    <s v="Storage"/>
    <s v="Drawer Organizer"/>
    <n v="2394.33"/>
    <n v="1"/>
    <n v="0.2"/>
    <n v="334.81"/>
  </r>
  <r>
    <s v="ORD-0184"/>
    <s v="2023-01-27"/>
    <s v="2023-02-02"/>
    <s v="Karen Singh"/>
    <x v="1"/>
    <x v="0"/>
    <x v="1"/>
    <s v="Computers"/>
    <s v="HP Desktop Tower"/>
    <n v="1582.21"/>
    <n v="10"/>
    <n v="0.1"/>
    <n v="14.41"/>
  </r>
  <r>
    <s v="ORD-0185"/>
    <s v="2023-12-25"/>
    <s v="2023-12-27"/>
    <s v="David Brown"/>
    <x v="2"/>
    <x v="1"/>
    <x v="0"/>
    <s v="Chairs"/>
    <s v="Executive Leather Chair"/>
    <n v="1334.29"/>
    <n v="7"/>
    <n v="0"/>
    <n v="153.69"/>
  </r>
  <r>
    <s v="ORD-0186"/>
    <s v="2023-02-01"/>
    <s v="2023-02-08"/>
    <s v="Carol White"/>
    <x v="2"/>
    <x v="3"/>
    <x v="0"/>
    <s v="Tables"/>
    <s v="Folding Table"/>
    <n v="1691.44"/>
    <n v="8"/>
    <n v="0.2"/>
    <n v="170.38"/>
  </r>
  <r>
    <s v="ORD-0187"/>
    <s v="2023-07-01"/>
    <s v="2023-07-08"/>
    <s v="Eva Green"/>
    <x v="1"/>
    <x v="3"/>
    <x v="2"/>
    <s v="Storage"/>
    <s v="Filing Cabinet"/>
    <n v="1838.03"/>
    <n v="4"/>
    <n v="0"/>
    <n v="113.23"/>
  </r>
  <r>
    <s v="ORD-0188"/>
    <s v="2023-12-27"/>
    <s v="2023-12-30"/>
    <s v="Leo Patel"/>
    <x v="2"/>
    <x v="3"/>
    <x v="2"/>
    <s v="Art"/>
    <s v="Marker Set"/>
    <n v="964.78"/>
    <n v="6"/>
    <n v="0.2"/>
    <n v="312.08999999999997"/>
  </r>
  <r>
    <s v="ORD-0189"/>
    <s v="2023-10-21"/>
    <s v="2023-10-28"/>
    <s v="Carol White"/>
    <x v="2"/>
    <x v="0"/>
    <x v="2"/>
    <s v="Art"/>
    <s v="Watercolor Kit"/>
    <n v="2689.37"/>
    <n v="7"/>
    <n v="0"/>
    <n v="892.45"/>
  </r>
  <r>
    <s v="ORD-0190"/>
    <s v="2023-02-10"/>
    <s v="2023-02-14"/>
    <s v="Eva Green"/>
    <x v="0"/>
    <x v="3"/>
    <x v="1"/>
    <s v="Accessories"/>
    <s v="USB-C Hub"/>
    <n v="2247.0700000000002"/>
    <n v="4"/>
    <n v="0"/>
    <n v="631.83000000000004"/>
  </r>
  <r>
    <s v="ORD-0191"/>
    <s v="2023-02-25"/>
    <s v="2023-03-03"/>
    <s v="David Brown"/>
    <x v="0"/>
    <x v="2"/>
    <x v="2"/>
    <s v="Labels"/>
    <s v="Address Labels"/>
    <n v="733.06"/>
    <n v="1"/>
    <n v="0.3"/>
    <n v="228.77"/>
  </r>
  <r>
    <s v="ORD-0192"/>
    <s v="2023-02-21"/>
    <s v="2023-02-26"/>
    <s v="Carol White"/>
    <x v="2"/>
    <x v="1"/>
    <x v="1"/>
    <s v="Copiers"/>
    <s v="Canon Color Copier"/>
    <n v="319.62"/>
    <n v="3"/>
    <n v="0"/>
    <n v="107.33"/>
  </r>
  <r>
    <s v="ORD-0193"/>
    <s v="2023-11-30"/>
    <s v="2023-12-03"/>
    <s v="David Brown"/>
    <x v="0"/>
    <x v="0"/>
    <x v="1"/>
    <s v="Accessories"/>
    <s v="USB-C Hub"/>
    <n v="870.54"/>
    <n v="1"/>
    <n v="0"/>
    <n v="183.61"/>
  </r>
  <r>
    <s v="ORD-0194"/>
    <s v="2023-08-02"/>
    <s v="2023-08-05"/>
    <s v="Eva Green"/>
    <x v="1"/>
    <x v="0"/>
    <x v="0"/>
    <s v="Furnishings"/>
    <s v="Picture Frame"/>
    <n v="2368.12"/>
    <n v="3"/>
    <n v="0.3"/>
    <n v="792.97"/>
  </r>
  <r>
    <s v="ORD-0195"/>
    <s v="2023-10-18"/>
    <s v="2023-10-24"/>
    <s v="Carol White"/>
    <x v="0"/>
    <x v="1"/>
    <x v="0"/>
    <s v="Bookcases"/>
    <s v="5-Shelf Bookcase"/>
    <n v="867.99"/>
    <n v="9"/>
    <n v="0.2"/>
    <n v="128.08000000000001"/>
  </r>
  <r>
    <s v="ORD-0196"/>
    <s v="2023-04-09"/>
    <s v="2023-04-11"/>
    <s v="Leo Patel"/>
    <x v="2"/>
    <x v="3"/>
    <x v="1"/>
    <s v="Computers"/>
    <s v="HP Desktop Tower"/>
    <n v="2198.7399999999998"/>
    <n v="5"/>
    <n v="0.3"/>
    <n v="53.82"/>
  </r>
  <r>
    <s v="ORD-0197"/>
    <s v="2023-12-12"/>
    <s v="2023-12-15"/>
    <s v="Karen Singh"/>
    <x v="1"/>
    <x v="2"/>
    <x v="0"/>
    <s v="Furnishings"/>
    <s v="Lamp Set"/>
    <n v="2484.4299999999998"/>
    <n v="9"/>
    <n v="0"/>
    <n v="-38.020000000000003"/>
  </r>
  <r>
    <s v="ORD-0198"/>
    <s v="2023-09-02"/>
    <s v="2023-09-06"/>
    <s v="Frank Lee"/>
    <x v="2"/>
    <x v="0"/>
    <x v="0"/>
    <s v="Chairs"/>
    <s v="Mesh Task Chair"/>
    <n v="797.14"/>
    <n v="4"/>
    <n v="0.1"/>
    <n v="200.48"/>
  </r>
  <r>
    <s v="ORD-0199"/>
    <s v="2023-12-01"/>
    <s v="2023-12-05"/>
    <s v="Grace Kim"/>
    <x v="0"/>
    <x v="3"/>
    <x v="2"/>
    <s v="Binders"/>
    <s v="Portfolio Folder"/>
    <n v="205.13"/>
    <n v="2"/>
    <n v="0.1"/>
    <n v="14.92"/>
  </r>
  <r>
    <s v="ORD-0200"/>
    <s v="2023-03-02"/>
    <s v="2023-03-09"/>
    <s v="Henry Park"/>
    <x v="0"/>
    <x v="3"/>
    <x v="1"/>
    <s v="Accessories"/>
    <s v="Wireless Mouse"/>
    <n v="1851.58"/>
    <n v="4"/>
    <n v="0"/>
    <n v="261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I8" firstHeaderRow="0" firstDataRow="1" firstDataCol="1"/>
  <pivotFields count="13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9" showAll="0"/>
    <pivotField dataField="1"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A4:E8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numFmtId="164" showAll="0"/>
    <pivotField showAll="0"/>
    <pivotField dataField="1" numFmtId="9" showAll="0"/>
    <pivotField dataField="1"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9" baseField="0" baseItem="0"/>
    <dataField name="Sum of Profit" fld="12" baseField="0" baseItem="0"/>
    <dataField name="Average of Discount" fld="11" subtotal="average" baseField="6" baseItem="0"/>
    <dataField name="Count of Order ID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A12:E17" firstHeaderRow="0" firstDataRow="1" firstDataCol="1"/>
  <pivotFields count="13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numFmtId="164" showAll="0"/>
    <pivotField showAll="0"/>
    <pivotField dataField="1" numFmtId="9" showAll="0"/>
    <pivotField dataField="1" numFmtId="16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9" baseField="0" baseItem="0"/>
    <dataField name="Sum of Profit" fld="12" baseField="0" baseItem="0"/>
    <dataField name="Sum of Discount" fld="11" baseField="0" baseItem="0"/>
    <dataField name="Count of Order ID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showGridLines="0" zoomScaleNormal="100" workbookViewId="0">
      <pane ySplit="1" topLeftCell="A183" activePane="bottomLeft" state="frozen"/>
      <selection pane="bottomLeft" activeCell="C193" sqref="C193"/>
    </sheetView>
  </sheetViews>
  <sheetFormatPr defaultColWidth="8.6640625" defaultRowHeight="14.4" x14ac:dyDescent="0.3"/>
  <cols>
    <col min="1" max="1" width="14" customWidth="1"/>
    <col min="2" max="2" width="16" bestFit="1" customWidth="1"/>
    <col min="3" max="3" width="14.77734375" bestFit="1" customWidth="1"/>
    <col min="4" max="4" width="21.33203125" bestFit="1" customWidth="1"/>
    <col min="5" max="5" width="14.21875" bestFit="1" customWidth="1"/>
    <col min="6" max="6" width="12.33203125" bestFit="1" customWidth="1"/>
    <col min="7" max="8" width="14.33203125" bestFit="1" customWidth="1"/>
    <col min="9" max="9" width="21.44140625" bestFit="1" customWidth="1"/>
    <col min="10" max="10" width="10.77734375" bestFit="1" customWidth="1"/>
    <col min="11" max="11" width="12.44140625" bestFit="1" customWidth="1"/>
    <col min="12" max="12" width="13.33203125" bestFit="1" customWidth="1"/>
    <col min="13" max="13" width="10.6640625" bestFit="1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4">
        <v>749.78</v>
      </c>
      <c r="K2" s="2">
        <v>3</v>
      </c>
      <c r="L2" s="5">
        <v>0.3</v>
      </c>
      <c r="M2" s="6">
        <v>-6.75</v>
      </c>
    </row>
    <row r="3" spans="1:13" x14ac:dyDescent="0.3">
      <c r="A3" s="7" t="s">
        <v>22</v>
      </c>
      <c r="B3" s="8" t="s">
        <v>23</v>
      </c>
      <c r="C3" s="8" t="s">
        <v>24</v>
      </c>
      <c r="D3" s="7" t="s">
        <v>25</v>
      </c>
      <c r="E3" s="7" t="s">
        <v>17</v>
      </c>
      <c r="F3" s="7" t="s">
        <v>26</v>
      </c>
      <c r="G3" s="7" t="s">
        <v>19</v>
      </c>
      <c r="H3" s="7" t="s">
        <v>27</v>
      </c>
      <c r="I3" s="8" t="s">
        <v>28</v>
      </c>
      <c r="J3" s="9">
        <v>671.54</v>
      </c>
      <c r="K3" s="7">
        <v>9</v>
      </c>
      <c r="L3" s="10">
        <v>0.2</v>
      </c>
      <c r="M3" s="11">
        <v>-26.45</v>
      </c>
    </row>
    <row r="4" spans="1:13" x14ac:dyDescent="0.3">
      <c r="A4" s="2" t="s">
        <v>29</v>
      </c>
      <c r="B4" s="3" t="s">
        <v>30</v>
      </c>
      <c r="C4" s="3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 t="s">
        <v>37</v>
      </c>
      <c r="J4" s="4">
        <v>2281.25</v>
      </c>
      <c r="K4" s="2">
        <v>3</v>
      </c>
      <c r="L4" s="5">
        <v>0.3</v>
      </c>
      <c r="M4" s="12">
        <v>271.57</v>
      </c>
    </row>
    <row r="5" spans="1:13" x14ac:dyDescent="0.3">
      <c r="A5" s="7" t="s">
        <v>38</v>
      </c>
      <c r="B5" s="8" t="s">
        <v>39</v>
      </c>
      <c r="C5" s="8" t="s">
        <v>40</v>
      </c>
      <c r="D5" s="7" t="s">
        <v>41</v>
      </c>
      <c r="E5" s="7" t="s">
        <v>17</v>
      </c>
      <c r="F5" s="7" t="s">
        <v>26</v>
      </c>
      <c r="G5" s="7" t="s">
        <v>35</v>
      </c>
      <c r="H5" s="7" t="s">
        <v>36</v>
      </c>
      <c r="I5" s="8" t="s">
        <v>42</v>
      </c>
      <c r="J5" s="9">
        <v>1089.76</v>
      </c>
      <c r="K5" s="7">
        <v>6</v>
      </c>
      <c r="L5" s="10">
        <v>0.2</v>
      </c>
      <c r="M5" s="13">
        <v>60.82</v>
      </c>
    </row>
    <row r="6" spans="1:13" x14ac:dyDescent="0.3">
      <c r="A6" s="2" t="s">
        <v>43</v>
      </c>
      <c r="B6" s="3" t="s">
        <v>44</v>
      </c>
      <c r="C6" s="3" t="s">
        <v>45</v>
      </c>
      <c r="D6" s="2" t="s">
        <v>16</v>
      </c>
      <c r="E6" s="2" t="s">
        <v>33</v>
      </c>
      <c r="F6" s="2" t="s">
        <v>18</v>
      </c>
      <c r="G6" s="2" t="s">
        <v>19</v>
      </c>
      <c r="H6" s="2" t="s">
        <v>20</v>
      </c>
      <c r="I6" s="3" t="s">
        <v>21</v>
      </c>
      <c r="J6" s="4">
        <v>2491.63</v>
      </c>
      <c r="K6" s="2">
        <v>10</v>
      </c>
      <c r="L6" s="5">
        <v>0</v>
      </c>
      <c r="M6" s="12">
        <v>450.84</v>
      </c>
    </row>
    <row r="7" spans="1:13" x14ac:dyDescent="0.3">
      <c r="A7" s="7" t="s">
        <v>46</v>
      </c>
      <c r="B7" s="8" t="s">
        <v>47</v>
      </c>
      <c r="C7" s="8" t="s">
        <v>48</v>
      </c>
      <c r="D7" s="7" t="s">
        <v>49</v>
      </c>
      <c r="E7" s="7" t="s">
        <v>33</v>
      </c>
      <c r="F7" s="7" t="s">
        <v>50</v>
      </c>
      <c r="G7" s="7" t="s">
        <v>19</v>
      </c>
      <c r="H7" s="7" t="s">
        <v>51</v>
      </c>
      <c r="I7" s="8" t="s">
        <v>52</v>
      </c>
      <c r="J7" s="9">
        <v>2602.12</v>
      </c>
      <c r="K7" s="7">
        <v>7</v>
      </c>
      <c r="L7" s="10">
        <v>0</v>
      </c>
      <c r="M7" s="13">
        <v>341.83</v>
      </c>
    </row>
    <row r="8" spans="1:13" x14ac:dyDescent="0.3">
      <c r="A8" s="2" t="s">
        <v>53</v>
      </c>
      <c r="B8" s="3" t="s">
        <v>54</v>
      </c>
      <c r="C8" s="3" t="s">
        <v>55</v>
      </c>
      <c r="D8" s="2" t="s">
        <v>56</v>
      </c>
      <c r="E8" s="2" t="s">
        <v>57</v>
      </c>
      <c r="F8" s="2" t="s">
        <v>26</v>
      </c>
      <c r="G8" s="2" t="s">
        <v>35</v>
      </c>
      <c r="H8" s="2" t="s">
        <v>36</v>
      </c>
      <c r="I8" s="3" t="s">
        <v>37</v>
      </c>
      <c r="J8" s="4">
        <v>1835.21</v>
      </c>
      <c r="K8" s="2">
        <v>3</v>
      </c>
      <c r="L8" s="5">
        <v>0.2</v>
      </c>
      <c r="M8" s="12">
        <v>443.48</v>
      </c>
    </row>
    <row r="9" spans="1:13" x14ac:dyDescent="0.3">
      <c r="A9" s="7" t="s">
        <v>58</v>
      </c>
      <c r="B9" s="8" t="s">
        <v>14</v>
      </c>
      <c r="C9" s="8" t="s">
        <v>59</v>
      </c>
      <c r="D9" s="7" t="s">
        <v>49</v>
      </c>
      <c r="E9" s="7" t="s">
        <v>57</v>
      </c>
      <c r="F9" s="7" t="s">
        <v>50</v>
      </c>
      <c r="G9" s="7" t="s">
        <v>60</v>
      </c>
      <c r="H9" s="7" t="s">
        <v>61</v>
      </c>
      <c r="I9" s="8" t="s">
        <v>62</v>
      </c>
      <c r="J9" s="9">
        <v>2060.15</v>
      </c>
      <c r="K9" s="7">
        <v>1</v>
      </c>
      <c r="L9" s="10">
        <v>0</v>
      </c>
      <c r="M9" s="13">
        <v>574.21</v>
      </c>
    </row>
    <row r="10" spans="1:13" x14ac:dyDescent="0.3">
      <c r="A10" s="2" t="s">
        <v>63</v>
      </c>
      <c r="B10" s="3" t="s">
        <v>64</v>
      </c>
      <c r="C10" s="3" t="s">
        <v>55</v>
      </c>
      <c r="D10" s="2" t="s">
        <v>65</v>
      </c>
      <c r="E10" s="2" t="s">
        <v>57</v>
      </c>
      <c r="F10" s="2" t="s">
        <v>34</v>
      </c>
      <c r="G10" s="2" t="s">
        <v>60</v>
      </c>
      <c r="H10" s="2" t="s">
        <v>66</v>
      </c>
      <c r="I10" s="3" t="s">
        <v>67</v>
      </c>
      <c r="J10" s="4">
        <v>653.63</v>
      </c>
      <c r="K10" s="2">
        <v>8</v>
      </c>
      <c r="L10" s="5">
        <v>0.1</v>
      </c>
      <c r="M10" s="12">
        <v>198.62</v>
      </c>
    </row>
    <row r="11" spans="1:13" x14ac:dyDescent="0.3">
      <c r="A11" s="7" t="s">
        <v>68</v>
      </c>
      <c r="B11" s="8" t="s">
        <v>69</v>
      </c>
      <c r="C11" s="8" t="s">
        <v>70</v>
      </c>
      <c r="D11" s="7" t="s">
        <v>71</v>
      </c>
      <c r="E11" s="7" t="s">
        <v>57</v>
      </c>
      <c r="F11" s="7" t="s">
        <v>34</v>
      </c>
      <c r="G11" s="7" t="s">
        <v>60</v>
      </c>
      <c r="H11" s="7" t="s">
        <v>72</v>
      </c>
      <c r="I11" s="8" t="s">
        <v>73</v>
      </c>
      <c r="J11" s="9">
        <v>1626.15</v>
      </c>
      <c r="K11" s="7">
        <v>10</v>
      </c>
      <c r="L11" s="10">
        <v>0.1</v>
      </c>
      <c r="M11" s="13">
        <v>502.69</v>
      </c>
    </row>
    <row r="12" spans="1:13" x14ac:dyDescent="0.3">
      <c r="A12" s="2" t="s">
        <v>74</v>
      </c>
      <c r="B12" s="3" t="s">
        <v>75</v>
      </c>
      <c r="C12" s="3" t="s">
        <v>76</v>
      </c>
      <c r="D12" s="2" t="s">
        <v>65</v>
      </c>
      <c r="E12" s="2" t="s">
        <v>57</v>
      </c>
      <c r="F12" s="2" t="s">
        <v>18</v>
      </c>
      <c r="G12" s="2" t="s">
        <v>19</v>
      </c>
      <c r="H12" s="2" t="s">
        <v>27</v>
      </c>
      <c r="I12" s="3" t="s">
        <v>77</v>
      </c>
      <c r="J12" s="4">
        <v>2586.09</v>
      </c>
      <c r="K12" s="2">
        <v>3</v>
      </c>
      <c r="L12" s="5">
        <v>0.3</v>
      </c>
      <c r="M12" s="12">
        <v>36.19</v>
      </c>
    </row>
    <row r="13" spans="1:13" x14ac:dyDescent="0.3">
      <c r="A13" s="7" t="s">
        <v>78</v>
      </c>
      <c r="B13" s="8" t="s">
        <v>79</v>
      </c>
      <c r="C13" s="8" t="s">
        <v>80</v>
      </c>
      <c r="D13" s="7" t="s">
        <v>65</v>
      </c>
      <c r="E13" s="7" t="s">
        <v>17</v>
      </c>
      <c r="F13" s="7" t="s">
        <v>50</v>
      </c>
      <c r="G13" s="7" t="s">
        <v>35</v>
      </c>
      <c r="H13" s="7" t="s">
        <v>81</v>
      </c>
      <c r="I13" s="8" t="s">
        <v>82</v>
      </c>
      <c r="J13" s="9">
        <v>2913.81</v>
      </c>
      <c r="K13" s="7">
        <v>1</v>
      </c>
      <c r="L13" s="10">
        <v>0.3</v>
      </c>
      <c r="M13" s="13">
        <v>694.33</v>
      </c>
    </row>
    <row r="14" spans="1:13" x14ac:dyDescent="0.3">
      <c r="A14" s="2" t="s">
        <v>83</v>
      </c>
      <c r="B14" s="3" t="s">
        <v>84</v>
      </c>
      <c r="C14" s="3" t="s">
        <v>85</v>
      </c>
      <c r="D14" s="2" t="s">
        <v>32</v>
      </c>
      <c r="E14" s="2" t="s">
        <v>17</v>
      </c>
      <c r="F14" s="2" t="s">
        <v>34</v>
      </c>
      <c r="G14" s="2" t="s">
        <v>35</v>
      </c>
      <c r="H14" s="2" t="s">
        <v>86</v>
      </c>
      <c r="I14" s="3" t="s">
        <v>87</v>
      </c>
      <c r="J14" s="4">
        <v>491.31</v>
      </c>
      <c r="K14" s="2">
        <v>1</v>
      </c>
      <c r="L14" s="5">
        <v>0.3</v>
      </c>
      <c r="M14" s="12">
        <v>147.56</v>
      </c>
    </row>
    <row r="15" spans="1:13" x14ac:dyDescent="0.3">
      <c r="A15" s="7" t="s">
        <v>88</v>
      </c>
      <c r="B15" s="8" t="s">
        <v>40</v>
      </c>
      <c r="C15" s="8" t="s">
        <v>89</v>
      </c>
      <c r="D15" s="7" t="s">
        <v>90</v>
      </c>
      <c r="E15" s="7" t="s">
        <v>33</v>
      </c>
      <c r="F15" s="7" t="s">
        <v>50</v>
      </c>
      <c r="G15" s="7" t="s">
        <v>35</v>
      </c>
      <c r="H15" s="7" t="s">
        <v>91</v>
      </c>
      <c r="I15" s="8" t="s">
        <v>92</v>
      </c>
      <c r="J15" s="9">
        <v>475.46</v>
      </c>
      <c r="K15" s="7">
        <v>3</v>
      </c>
      <c r="L15" s="10">
        <v>0.2</v>
      </c>
      <c r="M15" s="13">
        <v>157.57</v>
      </c>
    </row>
    <row r="16" spans="1:13" x14ac:dyDescent="0.3">
      <c r="A16" s="2" t="s">
        <v>93</v>
      </c>
      <c r="B16" s="3" t="s">
        <v>94</v>
      </c>
      <c r="C16" s="3" t="s">
        <v>95</v>
      </c>
      <c r="D16" s="2" t="s">
        <v>96</v>
      </c>
      <c r="E16" s="2" t="s">
        <v>17</v>
      </c>
      <c r="F16" s="2" t="s">
        <v>26</v>
      </c>
      <c r="G16" s="2" t="s">
        <v>35</v>
      </c>
      <c r="H16" s="2" t="s">
        <v>81</v>
      </c>
      <c r="I16" s="3" t="s">
        <v>97</v>
      </c>
      <c r="J16" s="4">
        <v>733.57</v>
      </c>
      <c r="K16" s="2">
        <v>4</v>
      </c>
      <c r="L16" s="5">
        <v>0.2</v>
      </c>
      <c r="M16" s="12">
        <v>241.18</v>
      </c>
    </row>
    <row r="17" spans="1:13" x14ac:dyDescent="0.3">
      <c r="A17" s="7" t="s">
        <v>98</v>
      </c>
      <c r="B17" s="8" t="s">
        <v>99</v>
      </c>
      <c r="C17" s="8" t="s">
        <v>100</v>
      </c>
      <c r="D17" s="7" t="s">
        <v>101</v>
      </c>
      <c r="E17" s="7" t="s">
        <v>57</v>
      </c>
      <c r="F17" s="7" t="s">
        <v>34</v>
      </c>
      <c r="G17" s="7" t="s">
        <v>19</v>
      </c>
      <c r="H17" s="7" t="s">
        <v>102</v>
      </c>
      <c r="I17" s="8" t="s">
        <v>103</v>
      </c>
      <c r="J17" s="9">
        <v>2841.61</v>
      </c>
      <c r="K17" s="7">
        <v>3</v>
      </c>
      <c r="L17" s="10">
        <v>0</v>
      </c>
      <c r="M17" s="13">
        <v>457.7</v>
      </c>
    </row>
    <row r="18" spans="1:13" x14ac:dyDescent="0.3">
      <c r="A18" s="2" t="s">
        <v>104</v>
      </c>
      <c r="B18" s="3" t="s">
        <v>105</v>
      </c>
      <c r="C18" s="3" t="s">
        <v>106</v>
      </c>
      <c r="D18" s="2" t="s">
        <v>107</v>
      </c>
      <c r="E18" s="2" t="s">
        <v>33</v>
      </c>
      <c r="F18" s="2" t="s">
        <v>34</v>
      </c>
      <c r="G18" s="2" t="s">
        <v>60</v>
      </c>
      <c r="H18" s="2" t="s">
        <v>66</v>
      </c>
      <c r="I18" s="3" t="s">
        <v>108</v>
      </c>
      <c r="J18" s="4">
        <v>1209</v>
      </c>
      <c r="K18" s="2">
        <v>6</v>
      </c>
      <c r="L18" s="5">
        <v>0.1</v>
      </c>
      <c r="M18" s="12">
        <v>374.6</v>
      </c>
    </row>
    <row r="19" spans="1:13" x14ac:dyDescent="0.3">
      <c r="A19" s="7" t="s">
        <v>109</v>
      </c>
      <c r="B19" s="8" t="s">
        <v>110</v>
      </c>
      <c r="C19" s="8" t="s">
        <v>111</v>
      </c>
      <c r="D19" s="7" t="s">
        <v>41</v>
      </c>
      <c r="E19" s="7" t="s">
        <v>33</v>
      </c>
      <c r="F19" s="7" t="s">
        <v>18</v>
      </c>
      <c r="G19" s="7" t="s">
        <v>19</v>
      </c>
      <c r="H19" s="7" t="s">
        <v>51</v>
      </c>
      <c r="I19" s="8" t="s">
        <v>112</v>
      </c>
      <c r="J19" s="9">
        <v>1773.55</v>
      </c>
      <c r="K19" s="7">
        <v>1</v>
      </c>
      <c r="L19" s="10">
        <v>0</v>
      </c>
      <c r="M19" s="13">
        <v>413.48</v>
      </c>
    </row>
    <row r="20" spans="1:13" x14ac:dyDescent="0.3">
      <c r="A20" s="2" t="s">
        <v>113</v>
      </c>
      <c r="B20" s="3" t="s">
        <v>114</v>
      </c>
      <c r="C20" s="3" t="s">
        <v>115</v>
      </c>
      <c r="D20" s="2" t="s">
        <v>16</v>
      </c>
      <c r="E20" s="2" t="s">
        <v>17</v>
      </c>
      <c r="F20" s="2" t="s">
        <v>26</v>
      </c>
      <c r="G20" s="2" t="s">
        <v>60</v>
      </c>
      <c r="H20" s="2" t="s">
        <v>61</v>
      </c>
      <c r="I20" s="3" t="s">
        <v>62</v>
      </c>
      <c r="J20" s="4">
        <v>849.86</v>
      </c>
      <c r="K20" s="2">
        <v>8</v>
      </c>
      <c r="L20" s="5">
        <v>0</v>
      </c>
      <c r="M20" s="12">
        <v>140.82</v>
      </c>
    </row>
    <row r="21" spans="1:13" x14ac:dyDescent="0.3">
      <c r="A21" s="7" t="s">
        <v>116</v>
      </c>
      <c r="B21" s="8" t="s">
        <v>117</v>
      </c>
      <c r="C21" s="8" t="s">
        <v>118</v>
      </c>
      <c r="D21" s="7" t="s">
        <v>107</v>
      </c>
      <c r="E21" s="7" t="s">
        <v>17</v>
      </c>
      <c r="F21" s="7" t="s">
        <v>18</v>
      </c>
      <c r="G21" s="7" t="s">
        <v>19</v>
      </c>
      <c r="H21" s="7" t="s">
        <v>27</v>
      </c>
      <c r="I21" s="8" t="s">
        <v>119</v>
      </c>
      <c r="J21" s="9">
        <v>308.85000000000002</v>
      </c>
      <c r="K21" s="7">
        <v>7</v>
      </c>
      <c r="L21" s="10">
        <v>0</v>
      </c>
      <c r="M21" s="13">
        <v>36.89</v>
      </c>
    </row>
    <row r="22" spans="1:13" x14ac:dyDescent="0.3">
      <c r="A22" s="2" t="s">
        <v>120</v>
      </c>
      <c r="B22" s="3" t="s">
        <v>59</v>
      </c>
      <c r="C22" s="3" t="s">
        <v>121</v>
      </c>
      <c r="D22" s="2" t="s">
        <v>25</v>
      </c>
      <c r="E22" s="2" t="s">
        <v>17</v>
      </c>
      <c r="F22" s="2" t="s">
        <v>26</v>
      </c>
      <c r="G22" s="2" t="s">
        <v>19</v>
      </c>
      <c r="H22" s="2" t="s">
        <v>27</v>
      </c>
      <c r="I22" s="3" t="s">
        <v>28</v>
      </c>
      <c r="J22" s="4">
        <v>1219.81</v>
      </c>
      <c r="K22" s="2">
        <v>6</v>
      </c>
      <c r="L22" s="5">
        <v>0</v>
      </c>
      <c r="M22" s="12">
        <v>60.33</v>
      </c>
    </row>
    <row r="23" spans="1:13" x14ac:dyDescent="0.3">
      <c r="A23" s="7" t="s">
        <v>122</v>
      </c>
      <c r="B23" s="8" t="s">
        <v>23</v>
      </c>
      <c r="C23" s="8" t="s">
        <v>123</v>
      </c>
      <c r="D23" s="7" t="s">
        <v>90</v>
      </c>
      <c r="E23" s="7" t="s">
        <v>33</v>
      </c>
      <c r="F23" s="7" t="s">
        <v>18</v>
      </c>
      <c r="G23" s="7" t="s">
        <v>35</v>
      </c>
      <c r="H23" s="7" t="s">
        <v>86</v>
      </c>
      <c r="I23" s="8" t="s">
        <v>87</v>
      </c>
      <c r="J23" s="9">
        <v>764.42</v>
      </c>
      <c r="K23" s="7">
        <v>2</v>
      </c>
      <c r="L23" s="10">
        <v>0.1</v>
      </c>
      <c r="M23" s="13">
        <v>208.85</v>
      </c>
    </row>
    <row r="24" spans="1:13" x14ac:dyDescent="0.3">
      <c r="A24" s="2" t="s">
        <v>124</v>
      </c>
      <c r="B24" s="3" t="s">
        <v>125</v>
      </c>
      <c r="C24" s="3" t="s">
        <v>126</v>
      </c>
      <c r="D24" s="2" t="s">
        <v>71</v>
      </c>
      <c r="E24" s="2" t="s">
        <v>33</v>
      </c>
      <c r="F24" s="2" t="s">
        <v>34</v>
      </c>
      <c r="G24" s="2" t="s">
        <v>19</v>
      </c>
      <c r="H24" s="2" t="s">
        <v>51</v>
      </c>
      <c r="I24" s="3" t="s">
        <v>52</v>
      </c>
      <c r="J24" s="4">
        <v>515.61</v>
      </c>
      <c r="K24" s="2">
        <v>8</v>
      </c>
      <c r="L24" s="5">
        <v>0.1</v>
      </c>
      <c r="M24" s="12">
        <v>18.3</v>
      </c>
    </row>
    <row r="25" spans="1:13" x14ac:dyDescent="0.3">
      <c r="A25" s="7" t="s">
        <v>127</v>
      </c>
      <c r="B25" s="8" t="s">
        <v>128</v>
      </c>
      <c r="C25" s="8" t="s">
        <v>129</v>
      </c>
      <c r="D25" s="7" t="s">
        <v>56</v>
      </c>
      <c r="E25" s="7" t="s">
        <v>33</v>
      </c>
      <c r="F25" s="7" t="s">
        <v>50</v>
      </c>
      <c r="G25" s="7" t="s">
        <v>35</v>
      </c>
      <c r="H25" s="7" t="s">
        <v>86</v>
      </c>
      <c r="I25" s="8" t="s">
        <v>130</v>
      </c>
      <c r="J25" s="9">
        <v>870.04</v>
      </c>
      <c r="K25" s="7">
        <v>9</v>
      </c>
      <c r="L25" s="10">
        <v>0.3</v>
      </c>
      <c r="M25" s="13">
        <v>206.52</v>
      </c>
    </row>
    <row r="26" spans="1:13" x14ac:dyDescent="0.3">
      <c r="A26" s="2" t="s">
        <v>131</v>
      </c>
      <c r="B26" s="3" t="s">
        <v>132</v>
      </c>
      <c r="C26" s="3" t="s">
        <v>133</v>
      </c>
      <c r="D26" s="2" t="s">
        <v>107</v>
      </c>
      <c r="E26" s="2" t="s">
        <v>17</v>
      </c>
      <c r="F26" s="2" t="s">
        <v>34</v>
      </c>
      <c r="G26" s="2" t="s">
        <v>60</v>
      </c>
      <c r="H26" s="2" t="s">
        <v>72</v>
      </c>
      <c r="I26" s="3" t="s">
        <v>73</v>
      </c>
      <c r="J26" s="4">
        <v>201.65</v>
      </c>
      <c r="K26" s="2">
        <v>6</v>
      </c>
      <c r="L26" s="5">
        <v>0</v>
      </c>
      <c r="M26" s="6">
        <v>-6.04</v>
      </c>
    </row>
    <row r="27" spans="1:13" x14ac:dyDescent="0.3">
      <c r="A27" s="7" t="s">
        <v>134</v>
      </c>
      <c r="B27" s="8" t="s">
        <v>75</v>
      </c>
      <c r="C27" s="8" t="s">
        <v>135</v>
      </c>
      <c r="D27" s="7" t="s">
        <v>101</v>
      </c>
      <c r="E27" s="7" t="s">
        <v>33</v>
      </c>
      <c r="F27" s="7" t="s">
        <v>18</v>
      </c>
      <c r="G27" s="7" t="s">
        <v>19</v>
      </c>
      <c r="H27" s="7" t="s">
        <v>27</v>
      </c>
      <c r="I27" s="8" t="s">
        <v>119</v>
      </c>
      <c r="J27" s="9">
        <v>1793.2</v>
      </c>
      <c r="K27" s="7">
        <v>4</v>
      </c>
      <c r="L27" s="10">
        <v>0.1</v>
      </c>
      <c r="M27" s="11">
        <v>-3.67</v>
      </c>
    </row>
    <row r="28" spans="1:13" x14ac:dyDescent="0.3">
      <c r="A28" s="2" t="s">
        <v>136</v>
      </c>
      <c r="B28" s="3" t="s">
        <v>137</v>
      </c>
      <c r="C28" s="3" t="s">
        <v>138</v>
      </c>
      <c r="D28" s="2" t="s">
        <v>16</v>
      </c>
      <c r="E28" s="2" t="s">
        <v>57</v>
      </c>
      <c r="F28" s="2" t="s">
        <v>34</v>
      </c>
      <c r="G28" s="2" t="s">
        <v>60</v>
      </c>
      <c r="H28" s="2" t="s">
        <v>72</v>
      </c>
      <c r="I28" s="3" t="s">
        <v>139</v>
      </c>
      <c r="J28" s="4">
        <v>1704.38</v>
      </c>
      <c r="K28" s="2">
        <v>6</v>
      </c>
      <c r="L28" s="5">
        <v>0</v>
      </c>
      <c r="M28" s="12">
        <v>54.04</v>
      </c>
    </row>
    <row r="29" spans="1:13" x14ac:dyDescent="0.3">
      <c r="A29" s="7" t="s">
        <v>140</v>
      </c>
      <c r="B29" s="8" t="s">
        <v>141</v>
      </c>
      <c r="C29" s="8" t="s">
        <v>142</v>
      </c>
      <c r="D29" s="7" t="s">
        <v>101</v>
      </c>
      <c r="E29" s="7" t="s">
        <v>33</v>
      </c>
      <c r="F29" s="7" t="s">
        <v>18</v>
      </c>
      <c r="G29" s="7" t="s">
        <v>60</v>
      </c>
      <c r="H29" s="7" t="s">
        <v>66</v>
      </c>
      <c r="I29" s="8" t="s">
        <v>143</v>
      </c>
      <c r="J29" s="9">
        <v>1382.53</v>
      </c>
      <c r="K29" s="7">
        <v>2</v>
      </c>
      <c r="L29" s="10">
        <v>0</v>
      </c>
      <c r="M29" s="13">
        <v>184.31</v>
      </c>
    </row>
    <row r="30" spans="1:13" x14ac:dyDescent="0.3">
      <c r="A30" s="2" t="s">
        <v>144</v>
      </c>
      <c r="B30" s="3" t="s">
        <v>145</v>
      </c>
      <c r="C30" s="3" t="s">
        <v>146</v>
      </c>
      <c r="D30" s="2" t="s">
        <v>56</v>
      </c>
      <c r="E30" s="2" t="s">
        <v>57</v>
      </c>
      <c r="F30" s="2" t="s">
        <v>50</v>
      </c>
      <c r="G30" s="2" t="s">
        <v>35</v>
      </c>
      <c r="H30" s="2" t="s">
        <v>91</v>
      </c>
      <c r="I30" s="3" t="s">
        <v>147</v>
      </c>
      <c r="J30" s="4">
        <v>2801.11</v>
      </c>
      <c r="K30" s="2">
        <v>2</v>
      </c>
      <c r="L30" s="5">
        <v>0</v>
      </c>
      <c r="M30" s="12">
        <v>273.98</v>
      </c>
    </row>
    <row r="31" spans="1:13" x14ac:dyDescent="0.3">
      <c r="A31" s="7" t="s">
        <v>148</v>
      </c>
      <c r="B31" s="8" t="s">
        <v>59</v>
      </c>
      <c r="C31" s="8" t="s">
        <v>149</v>
      </c>
      <c r="D31" s="7" t="s">
        <v>96</v>
      </c>
      <c r="E31" s="7" t="s">
        <v>17</v>
      </c>
      <c r="F31" s="7" t="s">
        <v>34</v>
      </c>
      <c r="G31" s="7" t="s">
        <v>19</v>
      </c>
      <c r="H31" s="7" t="s">
        <v>20</v>
      </c>
      <c r="I31" s="8" t="s">
        <v>150</v>
      </c>
      <c r="J31" s="9">
        <v>2796.63</v>
      </c>
      <c r="K31" s="7">
        <v>2</v>
      </c>
      <c r="L31" s="10">
        <v>0</v>
      </c>
      <c r="M31" s="13">
        <v>156.01</v>
      </c>
    </row>
    <row r="32" spans="1:13" x14ac:dyDescent="0.3">
      <c r="A32" s="2" t="s">
        <v>151</v>
      </c>
      <c r="B32" s="3" t="s">
        <v>152</v>
      </c>
      <c r="C32" s="3" t="s">
        <v>153</v>
      </c>
      <c r="D32" s="2" t="s">
        <v>41</v>
      </c>
      <c r="E32" s="2" t="s">
        <v>33</v>
      </c>
      <c r="F32" s="2" t="s">
        <v>26</v>
      </c>
      <c r="G32" s="2" t="s">
        <v>19</v>
      </c>
      <c r="H32" s="2" t="s">
        <v>20</v>
      </c>
      <c r="I32" s="3" t="s">
        <v>150</v>
      </c>
      <c r="J32" s="4">
        <v>626.72</v>
      </c>
      <c r="K32" s="2">
        <v>5</v>
      </c>
      <c r="L32" s="5">
        <v>0.2</v>
      </c>
      <c r="M32" s="12">
        <v>91.13</v>
      </c>
    </row>
    <row r="33" spans="1:13" x14ac:dyDescent="0.3">
      <c r="A33" s="7" t="s">
        <v>154</v>
      </c>
      <c r="B33" s="8" t="s">
        <v>155</v>
      </c>
      <c r="C33" s="8" t="s">
        <v>156</v>
      </c>
      <c r="D33" s="7" t="s">
        <v>90</v>
      </c>
      <c r="E33" s="7" t="s">
        <v>17</v>
      </c>
      <c r="F33" s="7" t="s">
        <v>26</v>
      </c>
      <c r="G33" s="7" t="s">
        <v>35</v>
      </c>
      <c r="H33" s="7" t="s">
        <v>91</v>
      </c>
      <c r="I33" s="8" t="s">
        <v>147</v>
      </c>
      <c r="J33" s="9">
        <v>1918.6</v>
      </c>
      <c r="K33" s="7">
        <v>5</v>
      </c>
      <c r="L33" s="10">
        <v>0</v>
      </c>
      <c r="M33" s="13">
        <v>472.92</v>
      </c>
    </row>
    <row r="34" spans="1:13" x14ac:dyDescent="0.3">
      <c r="A34" s="2" t="s">
        <v>157</v>
      </c>
      <c r="B34" s="3" t="s">
        <v>158</v>
      </c>
      <c r="C34" s="3" t="s">
        <v>129</v>
      </c>
      <c r="D34" s="2" t="s">
        <v>71</v>
      </c>
      <c r="E34" s="2" t="s">
        <v>33</v>
      </c>
      <c r="F34" s="2" t="s">
        <v>18</v>
      </c>
      <c r="G34" s="2" t="s">
        <v>19</v>
      </c>
      <c r="H34" s="2" t="s">
        <v>51</v>
      </c>
      <c r="I34" s="3" t="s">
        <v>52</v>
      </c>
      <c r="J34" s="4">
        <v>1645.86</v>
      </c>
      <c r="K34" s="2">
        <v>6</v>
      </c>
      <c r="L34" s="5">
        <v>0.2</v>
      </c>
      <c r="M34" s="12">
        <v>281.45999999999998</v>
      </c>
    </row>
    <row r="35" spans="1:13" x14ac:dyDescent="0.3">
      <c r="A35" s="7" t="s">
        <v>159</v>
      </c>
      <c r="B35" s="8" t="s">
        <v>160</v>
      </c>
      <c r="C35" s="8" t="s">
        <v>161</v>
      </c>
      <c r="D35" s="7" t="s">
        <v>71</v>
      </c>
      <c r="E35" s="7" t="s">
        <v>17</v>
      </c>
      <c r="F35" s="7" t="s">
        <v>34</v>
      </c>
      <c r="G35" s="7" t="s">
        <v>35</v>
      </c>
      <c r="H35" s="7" t="s">
        <v>91</v>
      </c>
      <c r="I35" s="8" t="s">
        <v>162</v>
      </c>
      <c r="J35" s="9">
        <v>2052.56</v>
      </c>
      <c r="K35" s="7">
        <v>2</v>
      </c>
      <c r="L35" s="10">
        <v>0</v>
      </c>
      <c r="M35" s="13">
        <v>537.87</v>
      </c>
    </row>
    <row r="36" spans="1:13" x14ac:dyDescent="0.3">
      <c r="A36" s="2" t="s">
        <v>163</v>
      </c>
      <c r="B36" s="3" t="s">
        <v>164</v>
      </c>
      <c r="C36" s="3" t="s">
        <v>165</v>
      </c>
      <c r="D36" s="2" t="s">
        <v>16</v>
      </c>
      <c r="E36" s="2" t="s">
        <v>33</v>
      </c>
      <c r="F36" s="2" t="s">
        <v>50</v>
      </c>
      <c r="G36" s="2" t="s">
        <v>35</v>
      </c>
      <c r="H36" s="2" t="s">
        <v>36</v>
      </c>
      <c r="I36" s="3" t="s">
        <v>166</v>
      </c>
      <c r="J36" s="4">
        <v>554.49</v>
      </c>
      <c r="K36" s="2">
        <v>6</v>
      </c>
      <c r="L36" s="5">
        <v>0.1</v>
      </c>
      <c r="M36" s="12">
        <v>150.21</v>
      </c>
    </row>
    <row r="37" spans="1:13" x14ac:dyDescent="0.3">
      <c r="A37" s="7" t="s">
        <v>167</v>
      </c>
      <c r="B37" s="8" t="s">
        <v>168</v>
      </c>
      <c r="C37" s="8" t="s">
        <v>169</v>
      </c>
      <c r="D37" s="7" t="s">
        <v>107</v>
      </c>
      <c r="E37" s="7" t="s">
        <v>57</v>
      </c>
      <c r="F37" s="7" t="s">
        <v>50</v>
      </c>
      <c r="G37" s="7" t="s">
        <v>35</v>
      </c>
      <c r="H37" s="7" t="s">
        <v>36</v>
      </c>
      <c r="I37" s="8" t="s">
        <v>166</v>
      </c>
      <c r="J37" s="9">
        <v>2578.61</v>
      </c>
      <c r="K37" s="7">
        <v>4</v>
      </c>
      <c r="L37" s="10">
        <v>0</v>
      </c>
      <c r="M37" s="13">
        <v>713.33</v>
      </c>
    </row>
    <row r="38" spans="1:13" x14ac:dyDescent="0.3">
      <c r="A38" s="2" t="s">
        <v>170</v>
      </c>
      <c r="B38" s="3" t="s">
        <v>55</v>
      </c>
      <c r="C38" s="3" t="s">
        <v>47</v>
      </c>
      <c r="D38" s="2" t="s">
        <v>32</v>
      </c>
      <c r="E38" s="2" t="s">
        <v>57</v>
      </c>
      <c r="F38" s="2" t="s">
        <v>26</v>
      </c>
      <c r="G38" s="2" t="s">
        <v>60</v>
      </c>
      <c r="H38" s="2" t="s">
        <v>61</v>
      </c>
      <c r="I38" s="3" t="s">
        <v>171</v>
      </c>
      <c r="J38" s="4">
        <v>1207.43</v>
      </c>
      <c r="K38" s="2">
        <v>5</v>
      </c>
      <c r="L38" s="5">
        <v>0</v>
      </c>
      <c r="M38" s="12">
        <v>406.61</v>
      </c>
    </row>
    <row r="39" spans="1:13" x14ac:dyDescent="0.3">
      <c r="A39" s="7" t="s">
        <v>172</v>
      </c>
      <c r="B39" s="8" t="s">
        <v>173</v>
      </c>
      <c r="C39" s="8" t="s">
        <v>126</v>
      </c>
      <c r="D39" s="7" t="s">
        <v>32</v>
      </c>
      <c r="E39" s="7" t="s">
        <v>33</v>
      </c>
      <c r="F39" s="7" t="s">
        <v>18</v>
      </c>
      <c r="G39" s="7" t="s">
        <v>19</v>
      </c>
      <c r="H39" s="7" t="s">
        <v>27</v>
      </c>
      <c r="I39" s="8" t="s">
        <v>119</v>
      </c>
      <c r="J39" s="9">
        <v>2633.57</v>
      </c>
      <c r="K39" s="7">
        <v>5</v>
      </c>
      <c r="L39" s="10">
        <v>0</v>
      </c>
      <c r="M39" s="13">
        <v>479.93</v>
      </c>
    </row>
    <row r="40" spans="1:13" x14ac:dyDescent="0.3">
      <c r="A40" s="2" t="s">
        <v>174</v>
      </c>
      <c r="B40" s="3" t="s">
        <v>175</v>
      </c>
      <c r="C40" s="3" t="s">
        <v>176</v>
      </c>
      <c r="D40" s="2" t="s">
        <v>101</v>
      </c>
      <c r="E40" s="2" t="s">
        <v>33</v>
      </c>
      <c r="F40" s="2" t="s">
        <v>50</v>
      </c>
      <c r="G40" s="2" t="s">
        <v>60</v>
      </c>
      <c r="H40" s="2" t="s">
        <v>66</v>
      </c>
      <c r="I40" s="3" t="s">
        <v>108</v>
      </c>
      <c r="J40" s="4">
        <v>1320.45</v>
      </c>
      <c r="K40" s="2">
        <v>9</v>
      </c>
      <c r="L40" s="5">
        <v>0</v>
      </c>
      <c r="M40" s="12">
        <v>137.43</v>
      </c>
    </row>
    <row r="41" spans="1:13" x14ac:dyDescent="0.3">
      <c r="A41" s="7" t="s">
        <v>177</v>
      </c>
      <c r="B41" s="8" t="s">
        <v>178</v>
      </c>
      <c r="C41" s="8" t="s">
        <v>179</v>
      </c>
      <c r="D41" s="7" t="s">
        <v>101</v>
      </c>
      <c r="E41" s="7" t="s">
        <v>57</v>
      </c>
      <c r="F41" s="7" t="s">
        <v>18</v>
      </c>
      <c r="G41" s="7" t="s">
        <v>19</v>
      </c>
      <c r="H41" s="7" t="s">
        <v>51</v>
      </c>
      <c r="I41" s="8" t="s">
        <v>180</v>
      </c>
      <c r="J41" s="9">
        <v>1105.3800000000001</v>
      </c>
      <c r="K41" s="7">
        <v>2</v>
      </c>
      <c r="L41" s="10">
        <v>0.3</v>
      </c>
      <c r="M41" s="13">
        <v>351.85</v>
      </c>
    </row>
    <row r="42" spans="1:13" x14ac:dyDescent="0.3">
      <c r="A42" s="2" t="s">
        <v>181</v>
      </c>
      <c r="B42" s="3" t="s">
        <v>182</v>
      </c>
      <c r="C42" s="3" t="s">
        <v>183</v>
      </c>
      <c r="D42" s="2" t="s">
        <v>71</v>
      </c>
      <c r="E42" s="2" t="s">
        <v>17</v>
      </c>
      <c r="F42" s="2" t="s">
        <v>26</v>
      </c>
      <c r="G42" s="2" t="s">
        <v>35</v>
      </c>
      <c r="H42" s="2" t="s">
        <v>86</v>
      </c>
      <c r="I42" s="3" t="s">
        <v>87</v>
      </c>
      <c r="J42" s="4">
        <v>992.03</v>
      </c>
      <c r="K42" s="2">
        <v>5</v>
      </c>
      <c r="L42" s="5">
        <v>0.2</v>
      </c>
      <c r="M42" s="12">
        <v>0.91</v>
      </c>
    </row>
    <row r="43" spans="1:13" x14ac:dyDescent="0.3">
      <c r="A43" s="7" t="s">
        <v>184</v>
      </c>
      <c r="B43" s="8" t="s">
        <v>185</v>
      </c>
      <c r="C43" s="8" t="s">
        <v>186</v>
      </c>
      <c r="D43" s="7" t="s">
        <v>71</v>
      </c>
      <c r="E43" s="7" t="s">
        <v>17</v>
      </c>
      <c r="F43" s="7" t="s">
        <v>50</v>
      </c>
      <c r="G43" s="7" t="s">
        <v>60</v>
      </c>
      <c r="H43" s="7" t="s">
        <v>66</v>
      </c>
      <c r="I43" s="8" t="s">
        <v>67</v>
      </c>
      <c r="J43" s="9">
        <v>1230.0999999999999</v>
      </c>
      <c r="K43" s="7">
        <v>1</v>
      </c>
      <c r="L43" s="10">
        <v>0</v>
      </c>
      <c r="M43" s="13">
        <v>79.67</v>
      </c>
    </row>
    <row r="44" spans="1:13" x14ac:dyDescent="0.3">
      <c r="A44" s="2" t="s">
        <v>187</v>
      </c>
      <c r="B44" s="3" t="s">
        <v>176</v>
      </c>
      <c r="C44" s="3" t="s">
        <v>188</v>
      </c>
      <c r="D44" s="2" t="s">
        <v>90</v>
      </c>
      <c r="E44" s="2" t="s">
        <v>17</v>
      </c>
      <c r="F44" s="2" t="s">
        <v>50</v>
      </c>
      <c r="G44" s="2" t="s">
        <v>60</v>
      </c>
      <c r="H44" s="2" t="s">
        <v>61</v>
      </c>
      <c r="I44" s="3" t="s">
        <v>62</v>
      </c>
      <c r="J44" s="4">
        <v>1543.3</v>
      </c>
      <c r="K44" s="2">
        <v>3</v>
      </c>
      <c r="L44" s="5">
        <v>0.3</v>
      </c>
      <c r="M44" s="6">
        <v>-24.82</v>
      </c>
    </row>
    <row r="45" spans="1:13" x14ac:dyDescent="0.3">
      <c r="A45" s="7" t="s">
        <v>189</v>
      </c>
      <c r="B45" s="8" t="s">
        <v>48</v>
      </c>
      <c r="C45" s="8" t="s">
        <v>190</v>
      </c>
      <c r="D45" s="7" t="s">
        <v>107</v>
      </c>
      <c r="E45" s="7" t="s">
        <v>17</v>
      </c>
      <c r="F45" s="7" t="s">
        <v>18</v>
      </c>
      <c r="G45" s="7" t="s">
        <v>35</v>
      </c>
      <c r="H45" s="7" t="s">
        <v>91</v>
      </c>
      <c r="I45" s="8" t="s">
        <v>92</v>
      </c>
      <c r="J45" s="9">
        <v>2423.56</v>
      </c>
      <c r="K45" s="7">
        <v>3</v>
      </c>
      <c r="L45" s="10">
        <v>0</v>
      </c>
      <c r="M45" s="11">
        <v>-76.38</v>
      </c>
    </row>
    <row r="46" spans="1:13" x14ac:dyDescent="0.3">
      <c r="A46" s="2" t="s">
        <v>191</v>
      </c>
      <c r="B46" s="3" t="s">
        <v>192</v>
      </c>
      <c r="C46" s="3" t="s">
        <v>123</v>
      </c>
      <c r="D46" s="2" t="s">
        <v>56</v>
      </c>
      <c r="E46" s="2" t="s">
        <v>17</v>
      </c>
      <c r="F46" s="2" t="s">
        <v>18</v>
      </c>
      <c r="G46" s="2" t="s">
        <v>60</v>
      </c>
      <c r="H46" s="2" t="s">
        <v>61</v>
      </c>
      <c r="I46" s="3" t="s">
        <v>62</v>
      </c>
      <c r="J46" s="4">
        <v>2160.67</v>
      </c>
      <c r="K46" s="2">
        <v>7</v>
      </c>
      <c r="L46" s="5">
        <v>0.1</v>
      </c>
      <c r="M46" s="12">
        <v>237.37</v>
      </c>
    </row>
    <row r="47" spans="1:13" x14ac:dyDescent="0.3">
      <c r="A47" s="7" t="s">
        <v>193</v>
      </c>
      <c r="B47" s="8" t="s">
        <v>194</v>
      </c>
      <c r="C47" s="8" t="s">
        <v>195</v>
      </c>
      <c r="D47" s="7" t="s">
        <v>107</v>
      </c>
      <c r="E47" s="7" t="s">
        <v>17</v>
      </c>
      <c r="F47" s="7" t="s">
        <v>50</v>
      </c>
      <c r="G47" s="7" t="s">
        <v>19</v>
      </c>
      <c r="H47" s="7" t="s">
        <v>102</v>
      </c>
      <c r="I47" s="8" t="s">
        <v>196</v>
      </c>
      <c r="J47" s="9">
        <v>169.65</v>
      </c>
      <c r="K47" s="7">
        <v>4</v>
      </c>
      <c r="L47" s="10">
        <v>0</v>
      </c>
      <c r="M47" s="13">
        <v>22.49</v>
      </c>
    </row>
    <row r="48" spans="1:13" x14ac:dyDescent="0.3">
      <c r="A48" s="2" t="s">
        <v>197</v>
      </c>
      <c r="B48" s="3" t="s">
        <v>198</v>
      </c>
      <c r="C48" s="3" t="s">
        <v>199</v>
      </c>
      <c r="D48" s="2" t="s">
        <v>16</v>
      </c>
      <c r="E48" s="2" t="s">
        <v>57</v>
      </c>
      <c r="F48" s="2" t="s">
        <v>26</v>
      </c>
      <c r="G48" s="2" t="s">
        <v>60</v>
      </c>
      <c r="H48" s="2" t="s">
        <v>200</v>
      </c>
      <c r="I48" s="3" t="s">
        <v>201</v>
      </c>
      <c r="J48" s="4">
        <v>2495.1</v>
      </c>
      <c r="K48" s="2">
        <v>9</v>
      </c>
      <c r="L48" s="5">
        <v>0.1</v>
      </c>
      <c r="M48" s="12">
        <v>770.69</v>
      </c>
    </row>
    <row r="49" spans="1:13" x14ac:dyDescent="0.3">
      <c r="A49" s="7" t="s">
        <v>202</v>
      </c>
      <c r="B49" s="8" t="s">
        <v>203</v>
      </c>
      <c r="C49" s="8" t="s">
        <v>204</v>
      </c>
      <c r="D49" s="7" t="s">
        <v>32</v>
      </c>
      <c r="E49" s="7" t="s">
        <v>33</v>
      </c>
      <c r="F49" s="7" t="s">
        <v>50</v>
      </c>
      <c r="G49" s="7" t="s">
        <v>35</v>
      </c>
      <c r="H49" s="7" t="s">
        <v>86</v>
      </c>
      <c r="I49" s="8" t="s">
        <v>205</v>
      </c>
      <c r="J49" s="9">
        <v>1887.71</v>
      </c>
      <c r="K49" s="7">
        <v>5</v>
      </c>
      <c r="L49" s="10">
        <v>0.1</v>
      </c>
      <c r="M49" s="11">
        <v>-35.880000000000003</v>
      </c>
    </row>
    <row r="50" spans="1:13" x14ac:dyDescent="0.3">
      <c r="A50" s="2" t="s">
        <v>206</v>
      </c>
      <c r="B50" s="3" t="s">
        <v>207</v>
      </c>
      <c r="C50" s="3" t="s">
        <v>114</v>
      </c>
      <c r="D50" s="2" t="s">
        <v>25</v>
      </c>
      <c r="E50" s="2" t="s">
        <v>33</v>
      </c>
      <c r="F50" s="2" t="s">
        <v>26</v>
      </c>
      <c r="G50" s="2" t="s">
        <v>19</v>
      </c>
      <c r="H50" s="2" t="s">
        <v>51</v>
      </c>
      <c r="I50" s="3" t="s">
        <v>52</v>
      </c>
      <c r="J50" s="4">
        <v>469.48</v>
      </c>
      <c r="K50" s="2">
        <v>7</v>
      </c>
      <c r="L50" s="5">
        <v>0.3</v>
      </c>
      <c r="M50" s="12">
        <v>5.22</v>
      </c>
    </row>
    <row r="51" spans="1:13" x14ac:dyDescent="0.3">
      <c r="A51" s="7" t="s">
        <v>208</v>
      </c>
      <c r="B51" s="8" t="s">
        <v>114</v>
      </c>
      <c r="C51" s="8" t="s">
        <v>209</v>
      </c>
      <c r="D51" s="7" t="s">
        <v>101</v>
      </c>
      <c r="E51" s="7" t="s">
        <v>17</v>
      </c>
      <c r="F51" s="7" t="s">
        <v>18</v>
      </c>
      <c r="G51" s="7" t="s">
        <v>35</v>
      </c>
      <c r="H51" s="7" t="s">
        <v>86</v>
      </c>
      <c r="I51" s="8" t="s">
        <v>87</v>
      </c>
      <c r="J51" s="9">
        <v>205.55</v>
      </c>
      <c r="K51" s="7">
        <v>7</v>
      </c>
      <c r="L51" s="10">
        <v>0.1</v>
      </c>
      <c r="M51" s="13">
        <v>64.12</v>
      </c>
    </row>
    <row r="52" spans="1:13" x14ac:dyDescent="0.3">
      <c r="A52" s="2" t="s">
        <v>210</v>
      </c>
      <c r="B52" s="3" t="s">
        <v>211</v>
      </c>
      <c r="C52" s="3" t="s">
        <v>212</v>
      </c>
      <c r="D52" s="2" t="s">
        <v>16</v>
      </c>
      <c r="E52" s="2" t="s">
        <v>17</v>
      </c>
      <c r="F52" s="2" t="s">
        <v>34</v>
      </c>
      <c r="G52" s="2" t="s">
        <v>19</v>
      </c>
      <c r="H52" s="2" t="s">
        <v>20</v>
      </c>
      <c r="I52" s="3" t="s">
        <v>150</v>
      </c>
      <c r="J52" s="4">
        <v>909.87</v>
      </c>
      <c r="K52" s="2">
        <v>7</v>
      </c>
      <c r="L52" s="5">
        <v>0.1</v>
      </c>
      <c r="M52" s="12">
        <v>150.38999999999999</v>
      </c>
    </row>
    <row r="53" spans="1:13" x14ac:dyDescent="0.3">
      <c r="A53" s="7" t="s">
        <v>213</v>
      </c>
      <c r="B53" s="8" t="s">
        <v>214</v>
      </c>
      <c r="C53" s="8" t="s">
        <v>47</v>
      </c>
      <c r="D53" s="7" t="s">
        <v>71</v>
      </c>
      <c r="E53" s="7" t="s">
        <v>17</v>
      </c>
      <c r="F53" s="7" t="s">
        <v>34</v>
      </c>
      <c r="G53" s="7" t="s">
        <v>35</v>
      </c>
      <c r="H53" s="7" t="s">
        <v>86</v>
      </c>
      <c r="I53" s="8" t="s">
        <v>205</v>
      </c>
      <c r="J53" s="9">
        <v>106.49</v>
      </c>
      <c r="K53" s="7">
        <v>6</v>
      </c>
      <c r="L53" s="10">
        <v>0.3</v>
      </c>
      <c r="M53" s="13">
        <v>23.6</v>
      </c>
    </row>
    <row r="54" spans="1:13" x14ac:dyDescent="0.3">
      <c r="A54" s="2" t="s">
        <v>215</v>
      </c>
      <c r="B54" s="3" t="s">
        <v>216</v>
      </c>
      <c r="C54" s="3" t="s">
        <v>69</v>
      </c>
      <c r="D54" s="2" t="s">
        <v>96</v>
      </c>
      <c r="E54" s="2" t="s">
        <v>17</v>
      </c>
      <c r="F54" s="2" t="s">
        <v>26</v>
      </c>
      <c r="G54" s="2" t="s">
        <v>60</v>
      </c>
      <c r="H54" s="2" t="s">
        <v>217</v>
      </c>
      <c r="I54" s="3" t="s">
        <v>218</v>
      </c>
      <c r="J54" s="4">
        <v>2722.65</v>
      </c>
      <c r="K54" s="2">
        <v>10</v>
      </c>
      <c r="L54" s="5">
        <v>0.2</v>
      </c>
      <c r="M54" s="12">
        <v>585.91</v>
      </c>
    </row>
    <row r="55" spans="1:13" x14ac:dyDescent="0.3">
      <c r="A55" s="7" t="s">
        <v>219</v>
      </c>
      <c r="B55" s="8" t="s">
        <v>220</v>
      </c>
      <c r="C55" s="8" t="s">
        <v>221</v>
      </c>
      <c r="D55" s="7" t="s">
        <v>71</v>
      </c>
      <c r="E55" s="7" t="s">
        <v>57</v>
      </c>
      <c r="F55" s="7" t="s">
        <v>26</v>
      </c>
      <c r="G55" s="7" t="s">
        <v>19</v>
      </c>
      <c r="H55" s="7" t="s">
        <v>20</v>
      </c>
      <c r="I55" s="8" t="s">
        <v>150</v>
      </c>
      <c r="J55" s="9">
        <v>1149.73</v>
      </c>
      <c r="K55" s="7">
        <v>4</v>
      </c>
      <c r="L55" s="10">
        <v>0.1</v>
      </c>
      <c r="M55" s="13">
        <v>92.83</v>
      </c>
    </row>
    <row r="56" spans="1:13" x14ac:dyDescent="0.3">
      <c r="A56" s="2" t="s">
        <v>222</v>
      </c>
      <c r="B56" s="3" t="s">
        <v>137</v>
      </c>
      <c r="C56" s="3" t="s">
        <v>138</v>
      </c>
      <c r="D56" s="2" t="s">
        <v>65</v>
      </c>
      <c r="E56" s="2" t="s">
        <v>33</v>
      </c>
      <c r="F56" s="2" t="s">
        <v>18</v>
      </c>
      <c r="G56" s="2" t="s">
        <v>19</v>
      </c>
      <c r="H56" s="2" t="s">
        <v>27</v>
      </c>
      <c r="I56" s="3" t="s">
        <v>28</v>
      </c>
      <c r="J56" s="4">
        <v>2999.73</v>
      </c>
      <c r="K56" s="2">
        <v>6</v>
      </c>
      <c r="L56" s="5">
        <v>0</v>
      </c>
      <c r="M56" s="12">
        <v>630.12</v>
      </c>
    </row>
    <row r="57" spans="1:13" x14ac:dyDescent="0.3">
      <c r="A57" s="7" t="s">
        <v>223</v>
      </c>
      <c r="B57" s="8" t="s">
        <v>224</v>
      </c>
      <c r="C57" s="8" t="s">
        <v>225</v>
      </c>
      <c r="D57" s="7" t="s">
        <v>25</v>
      </c>
      <c r="E57" s="7" t="s">
        <v>57</v>
      </c>
      <c r="F57" s="7" t="s">
        <v>50</v>
      </c>
      <c r="G57" s="7" t="s">
        <v>60</v>
      </c>
      <c r="H57" s="7" t="s">
        <v>61</v>
      </c>
      <c r="I57" s="8" t="s">
        <v>226</v>
      </c>
      <c r="J57" s="9">
        <v>730.86</v>
      </c>
      <c r="K57" s="7">
        <v>8</v>
      </c>
      <c r="L57" s="10">
        <v>0.3</v>
      </c>
      <c r="M57" s="11">
        <v>-3.1</v>
      </c>
    </row>
    <row r="58" spans="1:13" x14ac:dyDescent="0.3">
      <c r="A58" s="2" t="s">
        <v>227</v>
      </c>
      <c r="B58" s="3" t="s">
        <v>228</v>
      </c>
      <c r="C58" s="3" t="s">
        <v>229</v>
      </c>
      <c r="D58" s="2" t="s">
        <v>41</v>
      </c>
      <c r="E58" s="2" t="s">
        <v>57</v>
      </c>
      <c r="F58" s="2" t="s">
        <v>26</v>
      </c>
      <c r="G58" s="2" t="s">
        <v>60</v>
      </c>
      <c r="H58" s="2" t="s">
        <v>217</v>
      </c>
      <c r="I58" s="3" t="s">
        <v>230</v>
      </c>
      <c r="J58" s="4">
        <v>2337.8200000000002</v>
      </c>
      <c r="K58" s="2">
        <v>3</v>
      </c>
      <c r="L58" s="5">
        <v>0</v>
      </c>
      <c r="M58" s="6">
        <v>-15.8</v>
      </c>
    </row>
    <row r="59" spans="1:13" x14ac:dyDescent="0.3">
      <c r="A59" s="7" t="s">
        <v>231</v>
      </c>
      <c r="B59" s="8" t="s">
        <v>232</v>
      </c>
      <c r="C59" s="8" t="s">
        <v>233</v>
      </c>
      <c r="D59" s="7" t="s">
        <v>96</v>
      </c>
      <c r="E59" s="7" t="s">
        <v>17</v>
      </c>
      <c r="F59" s="7" t="s">
        <v>18</v>
      </c>
      <c r="G59" s="7" t="s">
        <v>60</v>
      </c>
      <c r="H59" s="7" t="s">
        <v>61</v>
      </c>
      <c r="I59" s="8" t="s">
        <v>226</v>
      </c>
      <c r="J59" s="9">
        <v>323.67</v>
      </c>
      <c r="K59" s="7">
        <v>5</v>
      </c>
      <c r="L59" s="10">
        <v>0.3</v>
      </c>
      <c r="M59" s="13">
        <v>61.55</v>
      </c>
    </row>
    <row r="60" spans="1:13" x14ac:dyDescent="0.3">
      <c r="A60" s="2" t="s">
        <v>234</v>
      </c>
      <c r="B60" s="3" t="s">
        <v>99</v>
      </c>
      <c r="C60" s="3" t="s">
        <v>235</v>
      </c>
      <c r="D60" s="2" t="s">
        <v>107</v>
      </c>
      <c r="E60" s="2" t="s">
        <v>33</v>
      </c>
      <c r="F60" s="2" t="s">
        <v>26</v>
      </c>
      <c r="G60" s="2" t="s">
        <v>60</v>
      </c>
      <c r="H60" s="2" t="s">
        <v>66</v>
      </c>
      <c r="I60" s="3" t="s">
        <v>67</v>
      </c>
      <c r="J60" s="4">
        <v>225.49</v>
      </c>
      <c r="K60" s="2">
        <v>6</v>
      </c>
      <c r="L60" s="5">
        <v>0</v>
      </c>
      <c r="M60" s="12">
        <v>65.349999999999994</v>
      </c>
    </row>
    <row r="61" spans="1:13" x14ac:dyDescent="0.3">
      <c r="A61" s="7" t="s">
        <v>236</v>
      </c>
      <c r="B61" s="8" t="s">
        <v>237</v>
      </c>
      <c r="C61" s="8" t="s">
        <v>238</v>
      </c>
      <c r="D61" s="7" t="s">
        <v>90</v>
      </c>
      <c r="E61" s="7" t="s">
        <v>57</v>
      </c>
      <c r="F61" s="7" t="s">
        <v>26</v>
      </c>
      <c r="G61" s="7" t="s">
        <v>60</v>
      </c>
      <c r="H61" s="7" t="s">
        <v>61</v>
      </c>
      <c r="I61" s="8" t="s">
        <v>226</v>
      </c>
      <c r="J61" s="9">
        <v>1317.75</v>
      </c>
      <c r="K61" s="7">
        <v>9</v>
      </c>
      <c r="L61" s="10">
        <v>0.3</v>
      </c>
      <c r="M61" s="13">
        <v>76.47</v>
      </c>
    </row>
    <row r="62" spans="1:13" x14ac:dyDescent="0.3">
      <c r="A62" s="2" t="s">
        <v>239</v>
      </c>
      <c r="B62" s="3" t="s">
        <v>240</v>
      </c>
      <c r="C62" s="3" t="s">
        <v>241</v>
      </c>
      <c r="D62" s="2" t="s">
        <v>25</v>
      </c>
      <c r="E62" s="2" t="s">
        <v>57</v>
      </c>
      <c r="F62" s="2" t="s">
        <v>26</v>
      </c>
      <c r="G62" s="2" t="s">
        <v>35</v>
      </c>
      <c r="H62" s="2" t="s">
        <v>91</v>
      </c>
      <c r="I62" s="3" t="s">
        <v>92</v>
      </c>
      <c r="J62" s="4">
        <v>2495.58</v>
      </c>
      <c r="K62" s="2">
        <v>2</v>
      </c>
      <c r="L62" s="5">
        <v>0</v>
      </c>
      <c r="M62" s="12">
        <v>755.29</v>
      </c>
    </row>
    <row r="63" spans="1:13" x14ac:dyDescent="0.3">
      <c r="A63" s="7" t="s">
        <v>242</v>
      </c>
      <c r="B63" s="8" t="s">
        <v>243</v>
      </c>
      <c r="C63" s="8" t="s">
        <v>244</v>
      </c>
      <c r="D63" s="7" t="s">
        <v>101</v>
      </c>
      <c r="E63" s="7" t="s">
        <v>17</v>
      </c>
      <c r="F63" s="7" t="s">
        <v>50</v>
      </c>
      <c r="G63" s="7" t="s">
        <v>35</v>
      </c>
      <c r="H63" s="7" t="s">
        <v>91</v>
      </c>
      <c r="I63" s="8" t="s">
        <v>147</v>
      </c>
      <c r="J63" s="9">
        <v>1472.9</v>
      </c>
      <c r="K63" s="7">
        <v>6</v>
      </c>
      <c r="L63" s="10">
        <v>0</v>
      </c>
      <c r="M63" s="13">
        <v>126.87</v>
      </c>
    </row>
    <row r="64" spans="1:13" x14ac:dyDescent="0.3">
      <c r="A64" s="2" t="s">
        <v>245</v>
      </c>
      <c r="B64" s="3" t="s">
        <v>246</v>
      </c>
      <c r="C64" s="3" t="s">
        <v>95</v>
      </c>
      <c r="D64" s="2" t="s">
        <v>25</v>
      </c>
      <c r="E64" s="2" t="s">
        <v>17</v>
      </c>
      <c r="F64" s="2" t="s">
        <v>26</v>
      </c>
      <c r="G64" s="2" t="s">
        <v>19</v>
      </c>
      <c r="H64" s="2" t="s">
        <v>27</v>
      </c>
      <c r="I64" s="3" t="s">
        <v>119</v>
      </c>
      <c r="J64" s="4">
        <v>739.24</v>
      </c>
      <c r="K64" s="2">
        <v>7</v>
      </c>
      <c r="L64" s="5">
        <v>0.1</v>
      </c>
      <c r="M64" s="12">
        <v>127.2</v>
      </c>
    </row>
    <row r="65" spans="1:13" x14ac:dyDescent="0.3">
      <c r="A65" s="7" t="s">
        <v>247</v>
      </c>
      <c r="B65" s="8" t="s">
        <v>248</v>
      </c>
      <c r="C65" s="8" t="s">
        <v>249</v>
      </c>
      <c r="D65" s="7" t="s">
        <v>32</v>
      </c>
      <c r="E65" s="7" t="s">
        <v>17</v>
      </c>
      <c r="F65" s="7" t="s">
        <v>50</v>
      </c>
      <c r="G65" s="7" t="s">
        <v>35</v>
      </c>
      <c r="H65" s="7" t="s">
        <v>36</v>
      </c>
      <c r="I65" s="8" t="s">
        <v>37</v>
      </c>
      <c r="J65" s="9">
        <v>297.3</v>
      </c>
      <c r="K65" s="7">
        <v>4</v>
      </c>
      <c r="L65" s="10">
        <v>0.1</v>
      </c>
      <c r="M65" s="13">
        <v>67.400000000000006</v>
      </c>
    </row>
    <row r="66" spans="1:13" x14ac:dyDescent="0.3">
      <c r="A66" s="2" t="s">
        <v>250</v>
      </c>
      <c r="B66" s="3" t="s">
        <v>251</v>
      </c>
      <c r="C66" s="3" t="s">
        <v>252</v>
      </c>
      <c r="D66" s="2" t="s">
        <v>107</v>
      </c>
      <c r="E66" s="2" t="s">
        <v>57</v>
      </c>
      <c r="F66" s="2" t="s">
        <v>50</v>
      </c>
      <c r="G66" s="2" t="s">
        <v>35</v>
      </c>
      <c r="H66" s="2" t="s">
        <v>86</v>
      </c>
      <c r="I66" s="3" t="s">
        <v>205</v>
      </c>
      <c r="J66" s="4">
        <v>2989.96</v>
      </c>
      <c r="K66" s="2">
        <v>9</v>
      </c>
      <c r="L66" s="5">
        <v>0</v>
      </c>
      <c r="M66" s="12">
        <v>271.26</v>
      </c>
    </row>
    <row r="67" spans="1:13" x14ac:dyDescent="0.3">
      <c r="A67" s="7" t="s">
        <v>253</v>
      </c>
      <c r="B67" s="8" t="s">
        <v>254</v>
      </c>
      <c r="C67" s="8" t="s">
        <v>48</v>
      </c>
      <c r="D67" s="7" t="s">
        <v>25</v>
      </c>
      <c r="E67" s="7" t="s">
        <v>17</v>
      </c>
      <c r="F67" s="7" t="s">
        <v>26</v>
      </c>
      <c r="G67" s="7" t="s">
        <v>60</v>
      </c>
      <c r="H67" s="7" t="s">
        <v>61</v>
      </c>
      <c r="I67" s="8" t="s">
        <v>226</v>
      </c>
      <c r="J67" s="9">
        <v>960.33</v>
      </c>
      <c r="K67" s="7">
        <v>9</v>
      </c>
      <c r="L67" s="10">
        <v>0.3</v>
      </c>
      <c r="M67" s="13">
        <v>23.11</v>
      </c>
    </row>
    <row r="68" spans="1:13" x14ac:dyDescent="0.3">
      <c r="A68" s="2" t="s">
        <v>255</v>
      </c>
      <c r="B68" s="3" t="s">
        <v>256</v>
      </c>
      <c r="C68" s="3" t="s">
        <v>241</v>
      </c>
      <c r="D68" s="2" t="s">
        <v>56</v>
      </c>
      <c r="E68" s="2" t="s">
        <v>57</v>
      </c>
      <c r="F68" s="2" t="s">
        <v>18</v>
      </c>
      <c r="G68" s="2" t="s">
        <v>60</v>
      </c>
      <c r="H68" s="2" t="s">
        <v>66</v>
      </c>
      <c r="I68" s="3" t="s">
        <v>143</v>
      </c>
      <c r="J68" s="4">
        <v>2941.92</v>
      </c>
      <c r="K68" s="2">
        <v>4</v>
      </c>
      <c r="L68" s="5">
        <v>0</v>
      </c>
      <c r="M68" s="12">
        <v>120.6</v>
      </c>
    </row>
    <row r="69" spans="1:13" x14ac:dyDescent="0.3">
      <c r="A69" s="7" t="s">
        <v>257</v>
      </c>
      <c r="B69" s="8" t="s">
        <v>258</v>
      </c>
      <c r="C69" s="8" t="s">
        <v>125</v>
      </c>
      <c r="D69" s="7" t="s">
        <v>56</v>
      </c>
      <c r="E69" s="7" t="s">
        <v>17</v>
      </c>
      <c r="F69" s="7" t="s">
        <v>26</v>
      </c>
      <c r="G69" s="7" t="s">
        <v>35</v>
      </c>
      <c r="H69" s="7" t="s">
        <v>36</v>
      </c>
      <c r="I69" s="8" t="s">
        <v>166</v>
      </c>
      <c r="J69" s="9">
        <v>2923.4</v>
      </c>
      <c r="K69" s="7">
        <v>9</v>
      </c>
      <c r="L69" s="10">
        <v>0</v>
      </c>
      <c r="M69" s="13">
        <v>669.36</v>
      </c>
    </row>
    <row r="70" spans="1:13" x14ac:dyDescent="0.3">
      <c r="A70" s="2" t="s">
        <v>259</v>
      </c>
      <c r="B70" s="3" t="s">
        <v>129</v>
      </c>
      <c r="C70" s="3" t="s">
        <v>260</v>
      </c>
      <c r="D70" s="2" t="s">
        <v>32</v>
      </c>
      <c r="E70" s="2" t="s">
        <v>57</v>
      </c>
      <c r="F70" s="2" t="s">
        <v>18</v>
      </c>
      <c r="G70" s="2" t="s">
        <v>35</v>
      </c>
      <c r="H70" s="2" t="s">
        <v>86</v>
      </c>
      <c r="I70" s="3" t="s">
        <v>130</v>
      </c>
      <c r="J70" s="4">
        <v>1446.57</v>
      </c>
      <c r="K70" s="2">
        <v>6</v>
      </c>
      <c r="L70" s="5">
        <v>0</v>
      </c>
      <c r="M70" s="12">
        <v>486.34</v>
      </c>
    </row>
    <row r="71" spans="1:13" x14ac:dyDescent="0.3">
      <c r="A71" s="7" t="s">
        <v>261</v>
      </c>
      <c r="B71" s="8" t="s">
        <v>142</v>
      </c>
      <c r="C71" s="8" t="s">
        <v>262</v>
      </c>
      <c r="D71" s="7" t="s">
        <v>25</v>
      </c>
      <c r="E71" s="7" t="s">
        <v>33</v>
      </c>
      <c r="F71" s="7" t="s">
        <v>26</v>
      </c>
      <c r="G71" s="7" t="s">
        <v>19</v>
      </c>
      <c r="H71" s="7" t="s">
        <v>27</v>
      </c>
      <c r="I71" s="8" t="s">
        <v>119</v>
      </c>
      <c r="J71" s="9">
        <v>472.15</v>
      </c>
      <c r="K71" s="7">
        <v>10</v>
      </c>
      <c r="L71" s="10">
        <v>0</v>
      </c>
      <c r="M71" s="11">
        <v>-7.52</v>
      </c>
    </row>
    <row r="72" spans="1:13" x14ac:dyDescent="0.3">
      <c r="A72" s="2" t="s">
        <v>263</v>
      </c>
      <c r="B72" s="3" t="s">
        <v>264</v>
      </c>
      <c r="C72" s="3" t="s">
        <v>265</v>
      </c>
      <c r="D72" s="2" t="s">
        <v>71</v>
      </c>
      <c r="E72" s="2" t="s">
        <v>57</v>
      </c>
      <c r="F72" s="2" t="s">
        <v>18</v>
      </c>
      <c r="G72" s="2" t="s">
        <v>19</v>
      </c>
      <c r="H72" s="2" t="s">
        <v>102</v>
      </c>
      <c r="I72" s="3" t="s">
        <v>103</v>
      </c>
      <c r="J72" s="4">
        <v>1362.53</v>
      </c>
      <c r="K72" s="2">
        <v>8</v>
      </c>
      <c r="L72" s="5">
        <v>0</v>
      </c>
      <c r="M72" s="12">
        <v>400.67</v>
      </c>
    </row>
    <row r="73" spans="1:13" x14ac:dyDescent="0.3">
      <c r="A73" s="7" t="s">
        <v>266</v>
      </c>
      <c r="B73" s="8" t="s">
        <v>267</v>
      </c>
      <c r="C73" s="8" t="s">
        <v>268</v>
      </c>
      <c r="D73" s="7" t="s">
        <v>90</v>
      </c>
      <c r="E73" s="7" t="s">
        <v>33</v>
      </c>
      <c r="F73" s="7" t="s">
        <v>34</v>
      </c>
      <c r="G73" s="7" t="s">
        <v>60</v>
      </c>
      <c r="H73" s="7" t="s">
        <v>61</v>
      </c>
      <c r="I73" s="8" t="s">
        <v>62</v>
      </c>
      <c r="J73" s="9">
        <v>808.65</v>
      </c>
      <c r="K73" s="7">
        <v>2</v>
      </c>
      <c r="L73" s="10">
        <v>0</v>
      </c>
      <c r="M73" s="13">
        <v>37.15</v>
      </c>
    </row>
    <row r="74" spans="1:13" x14ac:dyDescent="0.3">
      <c r="A74" s="2" t="s">
        <v>269</v>
      </c>
      <c r="B74" s="3" t="s">
        <v>270</v>
      </c>
      <c r="C74" s="3" t="s">
        <v>271</v>
      </c>
      <c r="D74" s="2" t="s">
        <v>32</v>
      </c>
      <c r="E74" s="2" t="s">
        <v>17</v>
      </c>
      <c r="F74" s="2" t="s">
        <v>26</v>
      </c>
      <c r="G74" s="2" t="s">
        <v>60</v>
      </c>
      <c r="H74" s="2" t="s">
        <v>72</v>
      </c>
      <c r="I74" s="3" t="s">
        <v>73</v>
      </c>
      <c r="J74" s="4">
        <v>1420.34</v>
      </c>
      <c r="K74" s="2">
        <v>1</v>
      </c>
      <c r="L74" s="5">
        <v>0</v>
      </c>
      <c r="M74" s="12">
        <v>92.67</v>
      </c>
    </row>
    <row r="75" spans="1:13" x14ac:dyDescent="0.3">
      <c r="A75" s="7" t="s">
        <v>272</v>
      </c>
      <c r="B75" s="8" t="s">
        <v>273</v>
      </c>
      <c r="C75" s="8" t="s">
        <v>274</v>
      </c>
      <c r="D75" s="7" t="s">
        <v>32</v>
      </c>
      <c r="E75" s="7" t="s">
        <v>33</v>
      </c>
      <c r="F75" s="7" t="s">
        <v>18</v>
      </c>
      <c r="G75" s="7" t="s">
        <v>35</v>
      </c>
      <c r="H75" s="7" t="s">
        <v>91</v>
      </c>
      <c r="I75" s="8" t="s">
        <v>162</v>
      </c>
      <c r="J75" s="9">
        <v>1286.9100000000001</v>
      </c>
      <c r="K75" s="7">
        <v>9</v>
      </c>
      <c r="L75" s="10">
        <v>0</v>
      </c>
      <c r="M75" s="13">
        <v>269.02999999999997</v>
      </c>
    </row>
    <row r="76" spans="1:13" x14ac:dyDescent="0.3">
      <c r="A76" s="2" t="s">
        <v>275</v>
      </c>
      <c r="B76" s="3" t="s">
        <v>276</v>
      </c>
      <c r="C76" s="3" t="s">
        <v>277</v>
      </c>
      <c r="D76" s="2" t="s">
        <v>32</v>
      </c>
      <c r="E76" s="2" t="s">
        <v>17</v>
      </c>
      <c r="F76" s="2" t="s">
        <v>26</v>
      </c>
      <c r="G76" s="2" t="s">
        <v>60</v>
      </c>
      <c r="H76" s="2" t="s">
        <v>72</v>
      </c>
      <c r="I76" s="3" t="s">
        <v>139</v>
      </c>
      <c r="J76" s="4">
        <v>2765.15</v>
      </c>
      <c r="K76" s="2">
        <v>8</v>
      </c>
      <c r="L76" s="5">
        <v>0</v>
      </c>
      <c r="M76" s="12">
        <v>380.15</v>
      </c>
    </row>
    <row r="77" spans="1:13" x14ac:dyDescent="0.3">
      <c r="A77" s="7" t="s">
        <v>278</v>
      </c>
      <c r="B77" s="8" t="s">
        <v>279</v>
      </c>
      <c r="C77" s="8" t="s">
        <v>135</v>
      </c>
      <c r="D77" s="7" t="s">
        <v>101</v>
      </c>
      <c r="E77" s="7" t="s">
        <v>57</v>
      </c>
      <c r="F77" s="7" t="s">
        <v>18</v>
      </c>
      <c r="G77" s="7" t="s">
        <v>35</v>
      </c>
      <c r="H77" s="7" t="s">
        <v>86</v>
      </c>
      <c r="I77" s="8" t="s">
        <v>130</v>
      </c>
      <c r="J77" s="9">
        <v>259.72000000000003</v>
      </c>
      <c r="K77" s="7">
        <v>1</v>
      </c>
      <c r="L77" s="10">
        <v>0.1</v>
      </c>
      <c r="M77" s="13">
        <v>63.32</v>
      </c>
    </row>
    <row r="78" spans="1:13" x14ac:dyDescent="0.3">
      <c r="A78" s="2" t="s">
        <v>280</v>
      </c>
      <c r="B78" s="3" t="s">
        <v>281</v>
      </c>
      <c r="C78" s="3" t="s">
        <v>282</v>
      </c>
      <c r="D78" s="2" t="s">
        <v>56</v>
      </c>
      <c r="E78" s="2" t="s">
        <v>57</v>
      </c>
      <c r="F78" s="2" t="s">
        <v>26</v>
      </c>
      <c r="G78" s="2" t="s">
        <v>60</v>
      </c>
      <c r="H78" s="2" t="s">
        <v>72</v>
      </c>
      <c r="I78" s="3" t="s">
        <v>139</v>
      </c>
      <c r="J78" s="4">
        <v>2853.34</v>
      </c>
      <c r="K78" s="2">
        <v>5</v>
      </c>
      <c r="L78" s="5">
        <v>0.2</v>
      </c>
      <c r="M78" s="6">
        <v>-96.75</v>
      </c>
    </row>
    <row r="79" spans="1:13" x14ac:dyDescent="0.3">
      <c r="A79" s="7" t="s">
        <v>283</v>
      </c>
      <c r="B79" s="8" t="s">
        <v>284</v>
      </c>
      <c r="C79" s="8" t="s">
        <v>285</v>
      </c>
      <c r="D79" s="7" t="s">
        <v>49</v>
      </c>
      <c r="E79" s="7" t="s">
        <v>17</v>
      </c>
      <c r="F79" s="7" t="s">
        <v>18</v>
      </c>
      <c r="G79" s="7" t="s">
        <v>35</v>
      </c>
      <c r="H79" s="7" t="s">
        <v>86</v>
      </c>
      <c r="I79" s="8" t="s">
        <v>130</v>
      </c>
      <c r="J79" s="9">
        <v>2907.78</v>
      </c>
      <c r="K79" s="7">
        <v>8</v>
      </c>
      <c r="L79" s="10">
        <v>0</v>
      </c>
      <c r="M79" s="13">
        <v>329.57</v>
      </c>
    </row>
    <row r="80" spans="1:13" x14ac:dyDescent="0.3">
      <c r="A80" s="2" t="s">
        <v>286</v>
      </c>
      <c r="B80" s="3" t="s">
        <v>287</v>
      </c>
      <c r="C80" s="3" t="s">
        <v>288</v>
      </c>
      <c r="D80" s="2" t="s">
        <v>96</v>
      </c>
      <c r="E80" s="2" t="s">
        <v>57</v>
      </c>
      <c r="F80" s="2" t="s">
        <v>50</v>
      </c>
      <c r="G80" s="2" t="s">
        <v>60</v>
      </c>
      <c r="H80" s="2" t="s">
        <v>200</v>
      </c>
      <c r="I80" s="3" t="s">
        <v>201</v>
      </c>
      <c r="J80" s="4">
        <v>878.89</v>
      </c>
      <c r="K80" s="2">
        <v>7</v>
      </c>
      <c r="L80" s="5">
        <v>0.2</v>
      </c>
      <c r="M80" s="6">
        <v>-31.04</v>
      </c>
    </row>
    <row r="81" spans="1:13" x14ac:dyDescent="0.3">
      <c r="A81" s="7" t="s">
        <v>289</v>
      </c>
      <c r="B81" s="8" t="s">
        <v>290</v>
      </c>
      <c r="C81" s="8" t="s">
        <v>291</v>
      </c>
      <c r="D81" s="7" t="s">
        <v>25</v>
      </c>
      <c r="E81" s="7" t="s">
        <v>17</v>
      </c>
      <c r="F81" s="7" t="s">
        <v>50</v>
      </c>
      <c r="G81" s="7" t="s">
        <v>60</v>
      </c>
      <c r="H81" s="7" t="s">
        <v>217</v>
      </c>
      <c r="I81" s="8" t="s">
        <v>292</v>
      </c>
      <c r="J81" s="9">
        <v>1979.83</v>
      </c>
      <c r="K81" s="7">
        <v>9</v>
      </c>
      <c r="L81" s="10">
        <v>0.1</v>
      </c>
      <c r="M81" s="13">
        <v>228.27</v>
      </c>
    </row>
    <row r="82" spans="1:13" x14ac:dyDescent="0.3">
      <c r="A82" s="2" t="s">
        <v>293</v>
      </c>
      <c r="B82" s="3" t="s">
        <v>294</v>
      </c>
      <c r="C82" s="3" t="s">
        <v>135</v>
      </c>
      <c r="D82" s="2" t="s">
        <v>107</v>
      </c>
      <c r="E82" s="2" t="s">
        <v>17</v>
      </c>
      <c r="F82" s="2" t="s">
        <v>26</v>
      </c>
      <c r="G82" s="2" t="s">
        <v>35</v>
      </c>
      <c r="H82" s="2" t="s">
        <v>36</v>
      </c>
      <c r="I82" s="3" t="s">
        <v>166</v>
      </c>
      <c r="J82" s="4">
        <v>626.6</v>
      </c>
      <c r="K82" s="2">
        <v>9</v>
      </c>
      <c r="L82" s="5">
        <v>0</v>
      </c>
      <c r="M82" s="12">
        <v>201.18</v>
      </c>
    </row>
    <row r="83" spans="1:13" x14ac:dyDescent="0.3">
      <c r="A83" s="7" t="s">
        <v>295</v>
      </c>
      <c r="B83" s="8" t="s">
        <v>243</v>
      </c>
      <c r="C83" s="8" t="s">
        <v>296</v>
      </c>
      <c r="D83" s="7" t="s">
        <v>71</v>
      </c>
      <c r="E83" s="7" t="s">
        <v>33</v>
      </c>
      <c r="F83" s="7" t="s">
        <v>34</v>
      </c>
      <c r="G83" s="7" t="s">
        <v>60</v>
      </c>
      <c r="H83" s="7" t="s">
        <v>61</v>
      </c>
      <c r="I83" s="8" t="s">
        <v>62</v>
      </c>
      <c r="J83" s="9">
        <v>2135.15</v>
      </c>
      <c r="K83" s="7">
        <v>5</v>
      </c>
      <c r="L83" s="10">
        <v>0.2</v>
      </c>
      <c r="M83" s="11">
        <v>-95.08</v>
      </c>
    </row>
    <row r="84" spans="1:13" x14ac:dyDescent="0.3">
      <c r="A84" s="2" t="s">
        <v>297</v>
      </c>
      <c r="B84" s="3" t="s">
        <v>220</v>
      </c>
      <c r="C84" s="3" t="s">
        <v>298</v>
      </c>
      <c r="D84" s="2" t="s">
        <v>71</v>
      </c>
      <c r="E84" s="2" t="s">
        <v>57</v>
      </c>
      <c r="F84" s="2" t="s">
        <v>26</v>
      </c>
      <c r="G84" s="2" t="s">
        <v>60</v>
      </c>
      <c r="H84" s="2" t="s">
        <v>61</v>
      </c>
      <c r="I84" s="3" t="s">
        <v>62</v>
      </c>
      <c r="J84" s="4">
        <v>1505.16</v>
      </c>
      <c r="K84" s="2">
        <v>5</v>
      </c>
      <c r="L84" s="5">
        <v>0.2</v>
      </c>
      <c r="M84" s="12">
        <v>349.44</v>
      </c>
    </row>
    <row r="85" spans="1:13" x14ac:dyDescent="0.3">
      <c r="A85" s="7" t="s">
        <v>299</v>
      </c>
      <c r="B85" s="8" t="s">
        <v>300</v>
      </c>
      <c r="C85" s="8" t="s">
        <v>221</v>
      </c>
      <c r="D85" s="7" t="s">
        <v>56</v>
      </c>
      <c r="E85" s="7" t="s">
        <v>33</v>
      </c>
      <c r="F85" s="7" t="s">
        <v>50</v>
      </c>
      <c r="G85" s="7" t="s">
        <v>19</v>
      </c>
      <c r="H85" s="7" t="s">
        <v>102</v>
      </c>
      <c r="I85" s="8" t="s">
        <v>196</v>
      </c>
      <c r="J85" s="9">
        <v>588.02</v>
      </c>
      <c r="K85" s="7">
        <v>10</v>
      </c>
      <c r="L85" s="10">
        <v>0.2</v>
      </c>
      <c r="M85" s="13">
        <v>146.13</v>
      </c>
    </row>
    <row r="86" spans="1:13" x14ac:dyDescent="0.3">
      <c r="A86" s="2" t="s">
        <v>301</v>
      </c>
      <c r="B86" s="3" t="s">
        <v>84</v>
      </c>
      <c r="C86" s="3" t="s">
        <v>302</v>
      </c>
      <c r="D86" s="2" t="s">
        <v>65</v>
      </c>
      <c r="E86" s="2" t="s">
        <v>57</v>
      </c>
      <c r="F86" s="2" t="s">
        <v>34</v>
      </c>
      <c r="G86" s="2" t="s">
        <v>35</v>
      </c>
      <c r="H86" s="2" t="s">
        <v>36</v>
      </c>
      <c r="I86" s="3" t="s">
        <v>37</v>
      </c>
      <c r="J86" s="4">
        <v>862.86</v>
      </c>
      <c r="K86" s="2">
        <v>5</v>
      </c>
      <c r="L86" s="5">
        <v>0.2</v>
      </c>
      <c r="M86" s="12">
        <v>157.01</v>
      </c>
    </row>
    <row r="87" spans="1:13" x14ac:dyDescent="0.3">
      <c r="A87" s="7" t="s">
        <v>303</v>
      </c>
      <c r="B87" s="8" t="s">
        <v>100</v>
      </c>
      <c r="C87" s="8" t="s">
        <v>304</v>
      </c>
      <c r="D87" s="7" t="s">
        <v>49</v>
      </c>
      <c r="E87" s="7" t="s">
        <v>33</v>
      </c>
      <c r="F87" s="7" t="s">
        <v>34</v>
      </c>
      <c r="G87" s="7" t="s">
        <v>35</v>
      </c>
      <c r="H87" s="7" t="s">
        <v>81</v>
      </c>
      <c r="I87" s="8" t="s">
        <v>82</v>
      </c>
      <c r="J87" s="9">
        <v>1664.71</v>
      </c>
      <c r="K87" s="7">
        <v>9</v>
      </c>
      <c r="L87" s="10">
        <v>0.1</v>
      </c>
      <c r="M87" s="13">
        <v>219.97</v>
      </c>
    </row>
    <row r="88" spans="1:13" x14ac:dyDescent="0.3">
      <c r="A88" s="2" t="s">
        <v>305</v>
      </c>
      <c r="B88" s="3" t="s">
        <v>306</v>
      </c>
      <c r="C88" s="3" t="s">
        <v>212</v>
      </c>
      <c r="D88" s="2" t="s">
        <v>71</v>
      </c>
      <c r="E88" s="2" t="s">
        <v>57</v>
      </c>
      <c r="F88" s="2" t="s">
        <v>34</v>
      </c>
      <c r="G88" s="2" t="s">
        <v>35</v>
      </c>
      <c r="H88" s="2" t="s">
        <v>36</v>
      </c>
      <c r="I88" s="3" t="s">
        <v>37</v>
      </c>
      <c r="J88" s="4">
        <v>968.17</v>
      </c>
      <c r="K88" s="2">
        <v>8</v>
      </c>
      <c r="L88" s="5">
        <v>0.3</v>
      </c>
      <c r="M88" s="12">
        <v>305.33</v>
      </c>
    </row>
    <row r="89" spans="1:13" x14ac:dyDescent="0.3">
      <c r="A89" s="7" t="s">
        <v>307</v>
      </c>
      <c r="B89" s="8" t="s">
        <v>308</v>
      </c>
      <c r="C89" s="8" t="s">
        <v>296</v>
      </c>
      <c r="D89" s="7" t="s">
        <v>107</v>
      </c>
      <c r="E89" s="7" t="s">
        <v>33</v>
      </c>
      <c r="F89" s="7" t="s">
        <v>34</v>
      </c>
      <c r="G89" s="7" t="s">
        <v>60</v>
      </c>
      <c r="H89" s="7" t="s">
        <v>72</v>
      </c>
      <c r="I89" s="8" t="s">
        <v>139</v>
      </c>
      <c r="J89" s="9">
        <v>1009.34</v>
      </c>
      <c r="K89" s="7">
        <v>2</v>
      </c>
      <c r="L89" s="10">
        <v>0.1</v>
      </c>
      <c r="M89" s="11">
        <v>-10.210000000000001</v>
      </c>
    </row>
    <row r="90" spans="1:13" x14ac:dyDescent="0.3">
      <c r="A90" s="2" t="s">
        <v>309</v>
      </c>
      <c r="B90" s="3" t="s">
        <v>310</v>
      </c>
      <c r="C90" s="3" t="s">
        <v>311</v>
      </c>
      <c r="D90" s="2" t="s">
        <v>71</v>
      </c>
      <c r="E90" s="2" t="s">
        <v>17</v>
      </c>
      <c r="F90" s="2" t="s">
        <v>18</v>
      </c>
      <c r="G90" s="2" t="s">
        <v>19</v>
      </c>
      <c r="H90" s="2" t="s">
        <v>102</v>
      </c>
      <c r="I90" s="3" t="s">
        <v>196</v>
      </c>
      <c r="J90" s="4">
        <v>2348.9499999999998</v>
      </c>
      <c r="K90" s="2">
        <v>5</v>
      </c>
      <c r="L90" s="5">
        <v>0</v>
      </c>
      <c r="M90" s="12">
        <v>468.15</v>
      </c>
    </row>
    <row r="91" spans="1:13" x14ac:dyDescent="0.3">
      <c r="A91" s="7" t="s">
        <v>312</v>
      </c>
      <c r="B91" s="8" t="s">
        <v>313</v>
      </c>
      <c r="C91" s="8" t="s">
        <v>273</v>
      </c>
      <c r="D91" s="7" t="s">
        <v>96</v>
      </c>
      <c r="E91" s="7" t="s">
        <v>33</v>
      </c>
      <c r="F91" s="7" t="s">
        <v>50</v>
      </c>
      <c r="G91" s="7" t="s">
        <v>35</v>
      </c>
      <c r="H91" s="7" t="s">
        <v>81</v>
      </c>
      <c r="I91" s="8" t="s">
        <v>97</v>
      </c>
      <c r="J91" s="9">
        <v>1887.86</v>
      </c>
      <c r="K91" s="7">
        <v>8</v>
      </c>
      <c r="L91" s="10">
        <v>0.2</v>
      </c>
      <c r="M91" s="11">
        <v>-67.28</v>
      </c>
    </row>
    <row r="92" spans="1:13" x14ac:dyDescent="0.3">
      <c r="A92" s="2" t="s">
        <v>314</v>
      </c>
      <c r="B92" s="3" t="s">
        <v>138</v>
      </c>
      <c r="C92" s="3" t="s">
        <v>315</v>
      </c>
      <c r="D92" s="2" t="s">
        <v>41</v>
      </c>
      <c r="E92" s="2" t="s">
        <v>57</v>
      </c>
      <c r="F92" s="2" t="s">
        <v>50</v>
      </c>
      <c r="G92" s="2" t="s">
        <v>19</v>
      </c>
      <c r="H92" s="2" t="s">
        <v>27</v>
      </c>
      <c r="I92" s="3" t="s">
        <v>77</v>
      </c>
      <c r="J92" s="4">
        <v>1342.16</v>
      </c>
      <c r="K92" s="2">
        <v>5</v>
      </c>
      <c r="L92" s="5">
        <v>0</v>
      </c>
      <c r="M92" s="6">
        <v>-42.42</v>
      </c>
    </row>
    <row r="93" spans="1:13" x14ac:dyDescent="0.3">
      <c r="A93" s="7" t="s">
        <v>316</v>
      </c>
      <c r="B93" s="8" t="s">
        <v>195</v>
      </c>
      <c r="C93" s="8" t="s">
        <v>317</v>
      </c>
      <c r="D93" s="7" t="s">
        <v>101</v>
      </c>
      <c r="E93" s="7" t="s">
        <v>57</v>
      </c>
      <c r="F93" s="7" t="s">
        <v>34</v>
      </c>
      <c r="G93" s="7" t="s">
        <v>19</v>
      </c>
      <c r="H93" s="7" t="s">
        <v>102</v>
      </c>
      <c r="I93" s="8" t="s">
        <v>196</v>
      </c>
      <c r="J93" s="9">
        <v>1706.47</v>
      </c>
      <c r="K93" s="7">
        <v>3</v>
      </c>
      <c r="L93" s="10">
        <v>0</v>
      </c>
      <c r="M93" s="13">
        <v>34.18</v>
      </c>
    </row>
    <row r="94" spans="1:13" x14ac:dyDescent="0.3">
      <c r="A94" s="2" t="s">
        <v>318</v>
      </c>
      <c r="B94" s="3" t="s">
        <v>319</v>
      </c>
      <c r="C94" s="3" t="s">
        <v>256</v>
      </c>
      <c r="D94" s="2" t="s">
        <v>107</v>
      </c>
      <c r="E94" s="2" t="s">
        <v>57</v>
      </c>
      <c r="F94" s="2" t="s">
        <v>34</v>
      </c>
      <c r="G94" s="2" t="s">
        <v>19</v>
      </c>
      <c r="H94" s="2" t="s">
        <v>102</v>
      </c>
      <c r="I94" s="3" t="s">
        <v>320</v>
      </c>
      <c r="J94" s="4">
        <v>1920.96</v>
      </c>
      <c r="K94" s="2">
        <v>8</v>
      </c>
      <c r="L94" s="5">
        <v>0</v>
      </c>
      <c r="M94" s="12">
        <v>416.34</v>
      </c>
    </row>
    <row r="95" spans="1:13" x14ac:dyDescent="0.3">
      <c r="A95" s="7" t="s">
        <v>321</v>
      </c>
      <c r="B95" s="8" t="s">
        <v>176</v>
      </c>
      <c r="C95" s="8" t="s">
        <v>322</v>
      </c>
      <c r="D95" s="7" t="s">
        <v>32</v>
      </c>
      <c r="E95" s="7" t="s">
        <v>33</v>
      </c>
      <c r="F95" s="7" t="s">
        <v>26</v>
      </c>
      <c r="G95" s="7" t="s">
        <v>60</v>
      </c>
      <c r="H95" s="7" t="s">
        <v>66</v>
      </c>
      <c r="I95" s="8" t="s">
        <v>67</v>
      </c>
      <c r="J95" s="9">
        <v>1924.04</v>
      </c>
      <c r="K95" s="7">
        <v>7</v>
      </c>
      <c r="L95" s="10">
        <v>0.3</v>
      </c>
      <c r="M95" s="13">
        <v>96.28</v>
      </c>
    </row>
    <row r="96" spans="1:13" x14ac:dyDescent="0.3">
      <c r="A96" s="2" t="s">
        <v>323</v>
      </c>
      <c r="B96" s="3" t="s">
        <v>40</v>
      </c>
      <c r="C96" s="3" t="s">
        <v>324</v>
      </c>
      <c r="D96" s="2" t="s">
        <v>65</v>
      </c>
      <c r="E96" s="2" t="s">
        <v>57</v>
      </c>
      <c r="F96" s="2" t="s">
        <v>50</v>
      </c>
      <c r="G96" s="2" t="s">
        <v>35</v>
      </c>
      <c r="H96" s="2" t="s">
        <v>81</v>
      </c>
      <c r="I96" s="3" t="s">
        <v>97</v>
      </c>
      <c r="J96" s="4">
        <v>1732.94</v>
      </c>
      <c r="K96" s="2">
        <v>5</v>
      </c>
      <c r="L96" s="5">
        <v>0</v>
      </c>
      <c r="M96" s="12">
        <v>591.24</v>
      </c>
    </row>
    <row r="97" spans="1:13" x14ac:dyDescent="0.3">
      <c r="A97" s="7" t="s">
        <v>325</v>
      </c>
      <c r="B97" s="8" t="s">
        <v>252</v>
      </c>
      <c r="C97" s="8" t="s">
        <v>326</v>
      </c>
      <c r="D97" s="7" t="s">
        <v>25</v>
      </c>
      <c r="E97" s="7" t="s">
        <v>17</v>
      </c>
      <c r="F97" s="7" t="s">
        <v>50</v>
      </c>
      <c r="G97" s="7" t="s">
        <v>60</v>
      </c>
      <c r="H97" s="7" t="s">
        <v>217</v>
      </c>
      <c r="I97" s="8" t="s">
        <v>218</v>
      </c>
      <c r="J97" s="9">
        <v>2733.64</v>
      </c>
      <c r="K97" s="7">
        <v>8</v>
      </c>
      <c r="L97" s="10">
        <v>0</v>
      </c>
      <c r="M97" s="13">
        <v>711.56</v>
      </c>
    </row>
    <row r="98" spans="1:13" x14ac:dyDescent="0.3">
      <c r="A98" s="2" t="s">
        <v>327</v>
      </c>
      <c r="B98" s="3" t="s">
        <v>237</v>
      </c>
      <c r="C98" s="3" t="s">
        <v>328</v>
      </c>
      <c r="D98" s="2" t="s">
        <v>65</v>
      </c>
      <c r="E98" s="2" t="s">
        <v>17</v>
      </c>
      <c r="F98" s="2" t="s">
        <v>18</v>
      </c>
      <c r="G98" s="2" t="s">
        <v>60</v>
      </c>
      <c r="H98" s="2" t="s">
        <v>66</v>
      </c>
      <c r="I98" s="3" t="s">
        <v>67</v>
      </c>
      <c r="J98" s="4">
        <v>2039.74</v>
      </c>
      <c r="K98" s="2">
        <v>3</v>
      </c>
      <c r="L98" s="5">
        <v>0.3</v>
      </c>
      <c r="M98" s="6">
        <v>-22.71</v>
      </c>
    </row>
    <row r="99" spans="1:13" x14ac:dyDescent="0.3">
      <c r="A99" s="7" t="s">
        <v>329</v>
      </c>
      <c r="B99" s="8" t="s">
        <v>330</v>
      </c>
      <c r="C99" s="8" t="s">
        <v>331</v>
      </c>
      <c r="D99" s="7" t="s">
        <v>71</v>
      </c>
      <c r="E99" s="7" t="s">
        <v>33</v>
      </c>
      <c r="F99" s="7" t="s">
        <v>34</v>
      </c>
      <c r="G99" s="7" t="s">
        <v>60</v>
      </c>
      <c r="H99" s="7" t="s">
        <v>66</v>
      </c>
      <c r="I99" s="8" t="s">
        <v>108</v>
      </c>
      <c r="J99" s="9">
        <v>2202.4299999999998</v>
      </c>
      <c r="K99" s="7">
        <v>2</v>
      </c>
      <c r="L99" s="10">
        <v>0</v>
      </c>
      <c r="M99" s="13">
        <v>177.71</v>
      </c>
    </row>
    <row r="100" spans="1:13" x14ac:dyDescent="0.3">
      <c r="A100" s="2" t="s">
        <v>332</v>
      </c>
      <c r="B100" s="3" t="s">
        <v>125</v>
      </c>
      <c r="C100" s="3" t="s">
        <v>304</v>
      </c>
      <c r="D100" s="2" t="s">
        <v>107</v>
      </c>
      <c r="E100" s="2" t="s">
        <v>57</v>
      </c>
      <c r="F100" s="2" t="s">
        <v>50</v>
      </c>
      <c r="G100" s="2" t="s">
        <v>60</v>
      </c>
      <c r="H100" s="2" t="s">
        <v>72</v>
      </c>
      <c r="I100" s="3" t="s">
        <v>73</v>
      </c>
      <c r="J100" s="4">
        <v>2742.19</v>
      </c>
      <c r="K100" s="2">
        <v>3</v>
      </c>
      <c r="L100" s="5">
        <v>0</v>
      </c>
      <c r="M100" s="12">
        <v>865.49</v>
      </c>
    </row>
    <row r="101" spans="1:13" x14ac:dyDescent="0.3">
      <c r="A101" s="7" t="s">
        <v>333</v>
      </c>
      <c r="B101" s="8" t="s">
        <v>221</v>
      </c>
      <c r="C101" s="8" t="s">
        <v>334</v>
      </c>
      <c r="D101" s="7" t="s">
        <v>71</v>
      </c>
      <c r="E101" s="7" t="s">
        <v>33</v>
      </c>
      <c r="F101" s="7" t="s">
        <v>50</v>
      </c>
      <c r="G101" s="7" t="s">
        <v>19</v>
      </c>
      <c r="H101" s="7" t="s">
        <v>51</v>
      </c>
      <c r="I101" s="8" t="s">
        <v>180</v>
      </c>
      <c r="J101" s="9">
        <v>2583.2199999999998</v>
      </c>
      <c r="K101" s="7">
        <v>7</v>
      </c>
      <c r="L101" s="10">
        <v>0.2</v>
      </c>
      <c r="M101" s="13">
        <v>248.79</v>
      </c>
    </row>
    <row r="102" spans="1:13" x14ac:dyDescent="0.3">
      <c r="A102" s="2" t="s">
        <v>335</v>
      </c>
      <c r="B102" s="3" t="s">
        <v>44</v>
      </c>
      <c r="C102" s="3" t="s">
        <v>45</v>
      </c>
      <c r="D102" s="2" t="s">
        <v>107</v>
      </c>
      <c r="E102" s="2" t="s">
        <v>33</v>
      </c>
      <c r="F102" s="2" t="s">
        <v>50</v>
      </c>
      <c r="G102" s="2" t="s">
        <v>35</v>
      </c>
      <c r="H102" s="2" t="s">
        <v>81</v>
      </c>
      <c r="I102" s="3" t="s">
        <v>82</v>
      </c>
      <c r="J102" s="4">
        <v>1761.99</v>
      </c>
      <c r="K102" s="2">
        <v>6</v>
      </c>
      <c r="L102" s="5">
        <v>0</v>
      </c>
      <c r="M102" s="12">
        <v>387.52</v>
      </c>
    </row>
    <row r="103" spans="1:13" x14ac:dyDescent="0.3">
      <c r="A103" s="7" t="s">
        <v>336</v>
      </c>
      <c r="B103" s="8" t="s">
        <v>337</v>
      </c>
      <c r="C103" s="8" t="s">
        <v>48</v>
      </c>
      <c r="D103" s="7" t="s">
        <v>56</v>
      </c>
      <c r="E103" s="7" t="s">
        <v>33</v>
      </c>
      <c r="F103" s="7" t="s">
        <v>18</v>
      </c>
      <c r="G103" s="7" t="s">
        <v>19</v>
      </c>
      <c r="H103" s="7" t="s">
        <v>102</v>
      </c>
      <c r="I103" s="8" t="s">
        <v>196</v>
      </c>
      <c r="J103" s="9">
        <v>2729.98</v>
      </c>
      <c r="K103" s="7">
        <v>5</v>
      </c>
      <c r="L103" s="10">
        <v>0.3</v>
      </c>
      <c r="M103" s="13">
        <v>309.36</v>
      </c>
    </row>
    <row r="104" spans="1:13" x14ac:dyDescent="0.3">
      <c r="A104" s="2" t="s">
        <v>338</v>
      </c>
      <c r="B104" s="3" t="s">
        <v>339</v>
      </c>
      <c r="C104" s="3" t="s">
        <v>340</v>
      </c>
      <c r="D104" s="2" t="s">
        <v>65</v>
      </c>
      <c r="E104" s="2" t="s">
        <v>17</v>
      </c>
      <c r="F104" s="2" t="s">
        <v>26</v>
      </c>
      <c r="G104" s="2" t="s">
        <v>19</v>
      </c>
      <c r="H104" s="2" t="s">
        <v>51</v>
      </c>
      <c r="I104" s="3" t="s">
        <v>180</v>
      </c>
      <c r="J104" s="4">
        <v>2664.03</v>
      </c>
      <c r="K104" s="2">
        <v>3</v>
      </c>
      <c r="L104" s="5">
        <v>0.1</v>
      </c>
      <c r="M104" s="12">
        <v>350.21</v>
      </c>
    </row>
    <row r="105" spans="1:13" x14ac:dyDescent="0.3">
      <c r="A105" s="7" t="s">
        <v>341</v>
      </c>
      <c r="B105" s="8" t="s">
        <v>342</v>
      </c>
      <c r="C105" s="8" t="s">
        <v>276</v>
      </c>
      <c r="D105" s="7" t="s">
        <v>32</v>
      </c>
      <c r="E105" s="7" t="s">
        <v>33</v>
      </c>
      <c r="F105" s="7" t="s">
        <v>50</v>
      </c>
      <c r="G105" s="7" t="s">
        <v>60</v>
      </c>
      <c r="H105" s="7" t="s">
        <v>217</v>
      </c>
      <c r="I105" s="8" t="s">
        <v>218</v>
      </c>
      <c r="J105" s="9">
        <v>2504.41</v>
      </c>
      <c r="K105" s="7">
        <v>10</v>
      </c>
      <c r="L105" s="10">
        <v>0.1</v>
      </c>
      <c r="M105" s="13">
        <v>815.49</v>
      </c>
    </row>
    <row r="106" spans="1:13" x14ac:dyDescent="0.3">
      <c r="A106" s="2" t="s">
        <v>343</v>
      </c>
      <c r="B106" s="3" t="s">
        <v>331</v>
      </c>
      <c r="C106" s="3" t="s">
        <v>344</v>
      </c>
      <c r="D106" s="2" t="s">
        <v>65</v>
      </c>
      <c r="E106" s="2" t="s">
        <v>57</v>
      </c>
      <c r="F106" s="2" t="s">
        <v>18</v>
      </c>
      <c r="G106" s="2" t="s">
        <v>19</v>
      </c>
      <c r="H106" s="2" t="s">
        <v>20</v>
      </c>
      <c r="I106" s="3" t="s">
        <v>150</v>
      </c>
      <c r="J106" s="4">
        <v>316.08</v>
      </c>
      <c r="K106" s="2">
        <v>6</v>
      </c>
      <c r="L106" s="5">
        <v>0.2</v>
      </c>
      <c r="M106" s="12">
        <v>98.2</v>
      </c>
    </row>
    <row r="107" spans="1:13" x14ac:dyDescent="0.3">
      <c r="A107" s="7" t="s">
        <v>345</v>
      </c>
      <c r="B107" s="8" t="s">
        <v>346</v>
      </c>
      <c r="C107" s="8" t="s">
        <v>152</v>
      </c>
      <c r="D107" s="7" t="s">
        <v>41</v>
      </c>
      <c r="E107" s="7" t="s">
        <v>33</v>
      </c>
      <c r="F107" s="7" t="s">
        <v>50</v>
      </c>
      <c r="G107" s="7" t="s">
        <v>19</v>
      </c>
      <c r="H107" s="7" t="s">
        <v>102</v>
      </c>
      <c r="I107" s="8" t="s">
        <v>320</v>
      </c>
      <c r="J107" s="9">
        <v>293.19</v>
      </c>
      <c r="K107" s="7">
        <v>4</v>
      </c>
      <c r="L107" s="10">
        <v>0.3</v>
      </c>
      <c r="M107" s="13">
        <v>60.34</v>
      </c>
    </row>
    <row r="108" spans="1:13" x14ac:dyDescent="0.3">
      <c r="A108" s="2" t="s">
        <v>347</v>
      </c>
      <c r="B108" s="3" t="s">
        <v>291</v>
      </c>
      <c r="C108" s="3" t="s">
        <v>348</v>
      </c>
      <c r="D108" s="2" t="s">
        <v>25</v>
      </c>
      <c r="E108" s="2" t="s">
        <v>57</v>
      </c>
      <c r="F108" s="2" t="s">
        <v>34</v>
      </c>
      <c r="G108" s="2" t="s">
        <v>19</v>
      </c>
      <c r="H108" s="2" t="s">
        <v>27</v>
      </c>
      <c r="I108" s="3" t="s">
        <v>119</v>
      </c>
      <c r="J108" s="4">
        <v>2492.86</v>
      </c>
      <c r="K108" s="2">
        <v>9</v>
      </c>
      <c r="L108" s="5">
        <v>0</v>
      </c>
      <c r="M108" s="12">
        <v>460.07</v>
      </c>
    </row>
    <row r="109" spans="1:13" x14ac:dyDescent="0.3">
      <c r="A109" s="7" t="s">
        <v>349</v>
      </c>
      <c r="B109" s="8" t="s">
        <v>128</v>
      </c>
      <c r="C109" s="8" t="s">
        <v>246</v>
      </c>
      <c r="D109" s="7" t="s">
        <v>41</v>
      </c>
      <c r="E109" s="7" t="s">
        <v>33</v>
      </c>
      <c r="F109" s="7" t="s">
        <v>18</v>
      </c>
      <c r="G109" s="7" t="s">
        <v>19</v>
      </c>
      <c r="H109" s="7" t="s">
        <v>51</v>
      </c>
      <c r="I109" s="8" t="s">
        <v>52</v>
      </c>
      <c r="J109" s="9">
        <v>1629.84</v>
      </c>
      <c r="K109" s="7">
        <v>3</v>
      </c>
      <c r="L109" s="10">
        <v>0</v>
      </c>
      <c r="M109" s="13">
        <v>349.48</v>
      </c>
    </row>
    <row r="110" spans="1:13" x14ac:dyDescent="0.3">
      <c r="A110" s="2" t="s">
        <v>350</v>
      </c>
      <c r="B110" s="3" t="s">
        <v>351</v>
      </c>
      <c r="C110" s="3" t="s">
        <v>190</v>
      </c>
      <c r="D110" s="2" t="s">
        <v>90</v>
      </c>
      <c r="E110" s="2" t="s">
        <v>33</v>
      </c>
      <c r="F110" s="2" t="s">
        <v>18</v>
      </c>
      <c r="G110" s="2" t="s">
        <v>35</v>
      </c>
      <c r="H110" s="2" t="s">
        <v>36</v>
      </c>
      <c r="I110" s="3" t="s">
        <v>37</v>
      </c>
      <c r="J110" s="4">
        <v>539.25</v>
      </c>
      <c r="K110" s="2">
        <v>1</v>
      </c>
      <c r="L110" s="5">
        <v>0</v>
      </c>
      <c r="M110" s="12">
        <v>133.03</v>
      </c>
    </row>
    <row r="111" spans="1:13" x14ac:dyDescent="0.3">
      <c r="A111" s="7" t="s">
        <v>352</v>
      </c>
      <c r="B111" s="8" t="s">
        <v>30</v>
      </c>
      <c r="C111" s="8" t="s">
        <v>300</v>
      </c>
      <c r="D111" s="7" t="s">
        <v>41</v>
      </c>
      <c r="E111" s="7" t="s">
        <v>17</v>
      </c>
      <c r="F111" s="7" t="s">
        <v>50</v>
      </c>
      <c r="G111" s="7" t="s">
        <v>60</v>
      </c>
      <c r="H111" s="7" t="s">
        <v>72</v>
      </c>
      <c r="I111" s="8" t="s">
        <v>139</v>
      </c>
      <c r="J111" s="9">
        <v>344.98</v>
      </c>
      <c r="K111" s="7">
        <v>9</v>
      </c>
      <c r="L111" s="10">
        <v>0</v>
      </c>
      <c r="M111" s="13">
        <v>113.21</v>
      </c>
    </row>
    <row r="112" spans="1:13" x14ac:dyDescent="0.3">
      <c r="A112" s="2" t="s">
        <v>353</v>
      </c>
      <c r="B112" s="3" t="s">
        <v>15</v>
      </c>
      <c r="C112" s="3" t="s">
        <v>354</v>
      </c>
      <c r="D112" s="2" t="s">
        <v>16</v>
      </c>
      <c r="E112" s="2" t="s">
        <v>57</v>
      </c>
      <c r="F112" s="2" t="s">
        <v>18</v>
      </c>
      <c r="G112" s="2" t="s">
        <v>19</v>
      </c>
      <c r="H112" s="2" t="s">
        <v>102</v>
      </c>
      <c r="I112" s="3" t="s">
        <v>320</v>
      </c>
      <c r="J112" s="4">
        <v>2544.9499999999998</v>
      </c>
      <c r="K112" s="2">
        <v>7</v>
      </c>
      <c r="L112" s="5">
        <v>0.3</v>
      </c>
      <c r="M112" s="6">
        <v>-17.34</v>
      </c>
    </row>
    <row r="113" spans="1:13" x14ac:dyDescent="0.3">
      <c r="A113" s="7" t="s">
        <v>355</v>
      </c>
      <c r="B113" s="8" t="s">
        <v>356</v>
      </c>
      <c r="C113" s="8" t="s">
        <v>357</v>
      </c>
      <c r="D113" s="7" t="s">
        <v>16</v>
      </c>
      <c r="E113" s="7" t="s">
        <v>57</v>
      </c>
      <c r="F113" s="7" t="s">
        <v>26</v>
      </c>
      <c r="G113" s="7" t="s">
        <v>19</v>
      </c>
      <c r="H113" s="7" t="s">
        <v>27</v>
      </c>
      <c r="I113" s="8" t="s">
        <v>119</v>
      </c>
      <c r="J113" s="9">
        <v>396.05</v>
      </c>
      <c r="K113" s="7">
        <v>10</v>
      </c>
      <c r="L113" s="10">
        <v>0.3</v>
      </c>
      <c r="M113" s="13">
        <v>72.930000000000007</v>
      </c>
    </row>
    <row r="114" spans="1:13" x14ac:dyDescent="0.3">
      <c r="A114" s="2" t="s">
        <v>358</v>
      </c>
      <c r="B114" s="3" t="s">
        <v>359</v>
      </c>
      <c r="C114" s="3" t="s">
        <v>100</v>
      </c>
      <c r="D114" s="2" t="s">
        <v>90</v>
      </c>
      <c r="E114" s="2" t="s">
        <v>17</v>
      </c>
      <c r="F114" s="2" t="s">
        <v>34</v>
      </c>
      <c r="G114" s="2" t="s">
        <v>35</v>
      </c>
      <c r="H114" s="2" t="s">
        <v>86</v>
      </c>
      <c r="I114" s="3" t="s">
        <v>205</v>
      </c>
      <c r="J114" s="4">
        <v>315.55</v>
      </c>
      <c r="K114" s="2">
        <v>2</v>
      </c>
      <c r="L114" s="5">
        <v>0.3</v>
      </c>
      <c r="M114" s="12">
        <v>66.38</v>
      </c>
    </row>
    <row r="115" spans="1:13" x14ac:dyDescent="0.3">
      <c r="A115" s="7" t="s">
        <v>360</v>
      </c>
      <c r="B115" s="8" t="s">
        <v>188</v>
      </c>
      <c r="C115" s="8" t="s">
        <v>361</v>
      </c>
      <c r="D115" s="7" t="s">
        <v>49</v>
      </c>
      <c r="E115" s="7" t="s">
        <v>57</v>
      </c>
      <c r="F115" s="7" t="s">
        <v>50</v>
      </c>
      <c r="G115" s="7" t="s">
        <v>35</v>
      </c>
      <c r="H115" s="7" t="s">
        <v>81</v>
      </c>
      <c r="I115" s="8" t="s">
        <v>82</v>
      </c>
      <c r="J115" s="9">
        <v>2485.71</v>
      </c>
      <c r="K115" s="7">
        <v>7</v>
      </c>
      <c r="L115" s="10">
        <v>0.1</v>
      </c>
      <c r="M115" s="13">
        <v>601.16</v>
      </c>
    </row>
    <row r="116" spans="1:13" x14ac:dyDescent="0.3">
      <c r="A116" s="2" t="s">
        <v>362</v>
      </c>
      <c r="B116" s="3" t="s">
        <v>363</v>
      </c>
      <c r="C116" s="3" t="s">
        <v>364</v>
      </c>
      <c r="D116" s="2" t="s">
        <v>16</v>
      </c>
      <c r="E116" s="2" t="s">
        <v>17</v>
      </c>
      <c r="F116" s="2" t="s">
        <v>50</v>
      </c>
      <c r="G116" s="2" t="s">
        <v>19</v>
      </c>
      <c r="H116" s="2" t="s">
        <v>102</v>
      </c>
      <c r="I116" s="3" t="s">
        <v>320</v>
      </c>
      <c r="J116" s="4">
        <v>220.06</v>
      </c>
      <c r="K116" s="2">
        <v>2</v>
      </c>
      <c r="L116" s="5">
        <v>0</v>
      </c>
      <c r="M116" s="12">
        <v>27.01</v>
      </c>
    </row>
    <row r="117" spans="1:13" x14ac:dyDescent="0.3">
      <c r="A117" s="7" t="s">
        <v>365</v>
      </c>
      <c r="B117" s="8" t="s">
        <v>366</v>
      </c>
      <c r="C117" s="8" t="s">
        <v>367</v>
      </c>
      <c r="D117" s="7" t="s">
        <v>65</v>
      </c>
      <c r="E117" s="7" t="s">
        <v>57</v>
      </c>
      <c r="F117" s="7" t="s">
        <v>18</v>
      </c>
      <c r="G117" s="7" t="s">
        <v>60</v>
      </c>
      <c r="H117" s="7" t="s">
        <v>72</v>
      </c>
      <c r="I117" s="8" t="s">
        <v>139</v>
      </c>
      <c r="J117" s="9">
        <v>1693.82</v>
      </c>
      <c r="K117" s="7">
        <v>2</v>
      </c>
      <c r="L117" s="10">
        <v>0.1</v>
      </c>
      <c r="M117" s="13">
        <v>154.88</v>
      </c>
    </row>
    <row r="118" spans="1:13" x14ac:dyDescent="0.3">
      <c r="A118" s="2" t="s">
        <v>368</v>
      </c>
      <c r="B118" s="3" t="s">
        <v>241</v>
      </c>
      <c r="C118" s="3" t="s">
        <v>265</v>
      </c>
      <c r="D118" s="2" t="s">
        <v>25</v>
      </c>
      <c r="E118" s="2" t="s">
        <v>33</v>
      </c>
      <c r="F118" s="2" t="s">
        <v>50</v>
      </c>
      <c r="G118" s="2" t="s">
        <v>35</v>
      </c>
      <c r="H118" s="2" t="s">
        <v>36</v>
      </c>
      <c r="I118" s="3" t="s">
        <v>42</v>
      </c>
      <c r="J118" s="4">
        <v>1742.2</v>
      </c>
      <c r="K118" s="2">
        <v>4</v>
      </c>
      <c r="L118" s="5">
        <v>0</v>
      </c>
      <c r="M118" s="12">
        <v>370.56</v>
      </c>
    </row>
    <row r="119" spans="1:13" x14ac:dyDescent="0.3">
      <c r="A119" s="7" t="s">
        <v>369</v>
      </c>
      <c r="B119" s="8" t="s">
        <v>161</v>
      </c>
      <c r="C119" s="8" t="s">
        <v>370</v>
      </c>
      <c r="D119" s="7" t="s">
        <v>65</v>
      </c>
      <c r="E119" s="7" t="s">
        <v>17</v>
      </c>
      <c r="F119" s="7" t="s">
        <v>18</v>
      </c>
      <c r="G119" s="7" t="s">
        <v>35</v>
      </c>
      <c r="H119" s="7" t="s">
        <v>91</v>
      </c>
      <c r="I119" s="8" t="s">
        <v>147</v>
      </c>
      <c r="J119" s="9">
        <v>2425.52</v>
      </c>
      <c r="K119" s="7">
        <v>9</v>
      </c>
      <c r="L119" s="10">
        <v>0.2</v>
      </c>
      <c r="M119" s="13">
        <v>474.02</v>
      </c>
    </row>
    <row r="120" spans="1:13" x14ac:dyDescent="0.3">
      <c r="A120" s="2" t="s">
        <v>371</v>
      </c>
      <c r="B120" s="3" t="s">
        <v>372</v>
      </c>
      <c r="C120" s="3" t="s">
        <v>373</v>
      </c>
      <c r="D120" s="2" t="s">
        <v>56</v>
      </c>
      <c r="E120" s="2" t="s">
        <v>33</v>
      </c>
      <c r="F120" s="2" t="s">
        <v>26</v>
      </c>
      <c r="G120" s="2" t="s">
        <v>35</v>
      </c>
      <c r="H120" s="2" t="s">
        <v>36</v>
      </c>
      <c r="I120" s="3" t="s">
        <v>166</v>
      </c>
      <c r="J120" s="4">
        <v>557.64</v>
      </c>
      <c r="K120" s="2">
        <v>5</v>
      </c>
      <c r="L120" s="5">
        <v>0</v>
      </c>
      <c r="M120" s="12">
        <v>50.42</v>
      </c>
    </row>
    <row r="121" spans="1:13" x14ac:dyDescent="0.3">
      <c r="A121" s="7" t="s">
        <v>374</v>
      </c>
      <c r="B121" s="8" t="s">
        <v>375</v>
      </c>
      <c r="C121" s="8" t="s">
        <v>342</v>
      </c>
      <c r="D121" s="7" t="s">
        <v>107</v>
      </c>
      <c r="E121" s="7" t="s">
        <v>57</v>
      </c>
      <c r="F121" s="7" t="s">
        <v>34</v>
      </c>
      <c r="G121" s="7" t="s">
        <v>60</v>
      </c>
      <c r="H121" s="7" t="s">
        <v>217</v>
      </c>
      <c r="I121" s="8" t="s">
        <v>230</v>
      </c>
      <c r="J121" s="9">
        <v>293.44</v>
      </c>
      <c r="K121" s="7">
        <v>9</v>
      </c>
      <c r="L121" s="10">
        <v>0</v>
      </c>
      <c r="M121" s="13">
        <v>29.48</v>
      </c>
    </row>
    <row r="122" spans="1:13" x14ac:dyDescent="0.3">
      <c r="A122" s="2" t="s">
        <v>376</v>
      </c>
      <c r="B122" s="3" t="s">
        <v>183</v>
      </c>
      <c r="C122" s="3" t="s">
        <v>377</v>
      </c>
      <c r="D122" s="2" t="s">
        <v>41</v>
      </c>
      <c r="E122" s="2" t="s">
        <v>17</v>
      </c>
      <c r="F122" s="2" t="s">
        <v>18</v>
      </c>
      <c r="G122" s="2" t="s">
        <v>35</v>
      </c>
      <c r="H122" s="2" t="s">
        <v>36</v>
      </c>
      <c r="I122" s="3" t="s">
        <v>37</v>
      </c>
      <c r="J122" s="4">
        <v>2652.36</v>
      </c>
      <c r="K122" s="2">
        <v>3</v>
      </c>
      <c r="L122" s="5">
        <v>0</v>
      </c>
      <c r="M122" s="12">
        <v>667.8</v>
      </c>
    </row>
    <row r="123" spans="1:13" x14ac:dyDescent="0.3">
      <c r="A123" s="7" t="s">
        <v>378</v>
      </c>
      <c r="B123" s="8" t="s">
        <v>176</v>
      </c>
      <c r="C123" s="8" t="s">
        <v>300</v>
      </c>
      <c r="D123" s="7" t="s">
        <v>90</v>
      </c>
      <c r="E123" s="7" t="s">
        <v>33</v>
      </c>
      <c r="F123" s="7" t="s">
        <v>50</v>
      </c>
      <c r="G123" s="7" t="s">
        <v>35</v>
      </c>
      <c r="H123" s="7" t="s">
        <v>86</v>
      </c>
      <c r="I123" s="8" t="s">
        <v>205</v>
      </c>
      <c r="J123" s="9">
        <v>1829.09</v>
      </c>
      <c r="K123" s="7">
        <v>7</v>
      </c>
      <c r="L123" s="10">
        <v>0</v>
      </c>
      <c r="M123" s="13">
        <v>66.260000000000005</v>
      </c>
    </row>
    <row r="124" spans="1:13" x14ac:dyDescent="0.3">
      <c r="A124" s="2" t="s">
        <v>379</v>
      </c>
      <c r="B124" s="3" t="s">
        <v>380</v>
      </c>
      <c r="C124" s="3" t="s">
        <v>381</v>
      </c>
      <c r="D124" s="2" t="s">
        <v>101</v>
      </c>
      <c r="E124" s="2" t="s">
        <v>33</v>
      </c>
      <c r="F124" s="2" t="s">
        <v>18</v>
      </c>
      <c r="G124" s="2" t="s">
        <v>60</v>
      </c>
      <c r="H124" s="2" t="s">
        <v>72</v>
      </c>
      <c r="I124" s="3" t="s">
        <v>73</v>
      </c>
      <c r="J124" s="4">
        <v>1470.17</v>
      </c>
      <c r="K124" s="2">
        <v>5</v>
      </c>
      <c r="L124" s="5">
        <v>0</v>
      </c>
      <c r="M124" s="12">
        <v>56.17</v>
      </c>
    </row>
    <row r="125" spans="1:13" x14ac:dyDescent="0.3">
      <c r="A125" s="7" t="s">
        <v>382</v>
      </c>
      <c r="B125" s="8" t="s">
        <v>383</v>
      </c>
      <c r="C125" s="8" t="s">
        <v>384</v>
      </c>
      <c r="D125" s="7" t="s">
        <v>71</v>
      </c>
      <c r="E125" s="7" t="s">
        <v>33</v>
      </c>
      <c r="F125" s="7" t="s">
        <v>34</v>
      </c>
      <c r="G125" s="7" t="s">
        <v>19</v>
      </c>
      <c r="H125" s="7" t="s">
        <v>20</v>
      </c>
      <c r="I125" s="8" t="s">
        <v>150</v>
      </c>
      <c r="J125" s="9">
        <v>882.55</v>
      </c>
      <c r="K125" s="7">
        <v>2</v>
      </c>
      <c r="L125" s="10">
        <v>0</v>
      </c>
      <c r="M125" s="13">
        <v>131.46</v>
      </c>
    </row>
    <row r="126" spans="1:13" x14ac:dyDescent="0.3">
      <c r="A126" s="2" t="s">
        <v>385</v>
      </c>
      <c r="B126" s="3" t="s">
        <v>99</v>
      </c>
      <c r="C126" s="3" t="s">
        <v>386</v>
      </c>
      <c r="D126" s="2" t="s">
        <v>96</v>
      </c>
      <c r="E126" s="2" t="s">
        <v>57</v>
      </c>
      <c r="F126" s="2" t="s">
        <v>26</v>
      </c>
      <c r="G126" s="2" t="s">
        <v>19</v>
      </c>
      <c r="H126" s="2" t="s">
        <v>20</v>
      </c>
      <c r="I126" s="3" t="s">
        <v>21</v>
      </c>
      <c r="J126" s="4">
        <v>234.78</v>
      </c>
      <c r="K126" s="2">
        <v>1</v>
      </c>
      <c r="L126" s="5">
        <v>0.1</v>
      </c>
      <c r="M126" s="6">
        <v>-9.98</v>
      </c>
    </row>
    <row r="127" spans="1:13" x14ac:dyDescent="0.3">
      <c r="A127" s="7" t="s">
        <v>387</v>
      </c>
      <c r="B127" s="8" t="s">
        <v>388</v>
      </c>
      <c r="C127" s="8" t="s">
        <v>271</v>
      </c>
      <c r="D127" s="7" t="s">
        <v>56</v>
      </c>
      <c r="E127" s="7" t="s">
        <v>17</v>
      </c>
      <c r="F127" s="7" t="s">
        <v>26</v>
      </c>
      <c r="G127" s="7" t="s">
        <v>60</v>
      </c>
      <c r="H127" s="7" t="s">
        <v>200</v>
      </c>
      <c r="I127" s="8" t="s">
        <v>389</v>
      </c>
      <c r="J127" s="9">
        <v>882.76</v>
      </c>
      <c r="K127" s="7">
        <v>7</v>
      </c>
      <c r="L127" s="10">
        <v>0</v>
      </c>
      <c r="M127" s="13">
        <v>297.02999999999997</v>
      </c>
    </row>
    <row r="128" spans="1:13" x14ac:dyDescent="0.3">
      <c r="A128" s="2" t="s">
        <v>390</v>
      </c>
      <c r="B128" s="3" t="s">
        <v>391</v>
      </c>
      <c r="C128" s="3" t="s">
        <v>392</v>
      </c>
      <c r="D128" s="2" t="s">
        <v>71</v>
      </c>
      <c r="E128" s="2" t="s">
        <v>57</v>
      </c>
      <c r="F128" s="2" t="s">
        <v>50</v>
      </c>
      <c r="G128" s="2" t="s">
        <v>35</v>
      </c>
      <c r="H128" s="2" t="s">
        <v>36</v>
      </c>
      <c r="I128" s="3" t="s">
        <v>166</v>
      </c>
      <c r="J128" s="4">
        <v>745.08</v>
      </c>
      <c r="K128" s="2">
        <v>10</v>
      </c>
      <c r="L128" s="5">
        <v>0.1</v>
      </c>
      <c r="M128" s="12">
        <v>118.9</v>
      </c>
    </row>
    <row r="129" spans="1:13" x14ac:dyDescent="0.3">
      <c r="A129" s="7" t="s">
        <v>393</v>
      </c>
      <c r="B129" s="8" t="s">
        <v>357</v>
      </c>
      <c r="C129" s="8" t="s">
        <v>288</v>
      </c>
      <c r="D129" s="7" t="s">
        <v>65</v>
      </c>
      <c r="E129" s="7" t="s">
        <v>33</v>
      </c>
      <c r="F129" s="7" t="s">
        <v>34</v>
      </c>
      <c r="G129" s="7" t="s">
        <v>19</v>
      </c>
      <c r="H129" s="7" t="s">
        <v>27</v>
      </c>
      <c r="I129" s="8" t="s">
        <v>28</v>
      </c>
      <c r="J129" s="9">
        <v>1601.2</v>
      </c>
      <c r="K129" s="7">
        <v>4</v>
      </c>
      <c r="L129" s="10">
        <v>0</v>
      </c>
      <c r="M129" s="13">
        <v>144.81</v>
      </c>
    </row>
    <row r="130" spans="1:13" x14ac:dyDescent="0.3">
      <c r="A130" s="2" t="s">
        <v>394</v>
      </c>
      <c r="B130" s="3" t="s">
        <v>70</v>
      </c>
      <c r="C130" s="3" t="s">
        <v>395</v>
      </c>
      <c r="D130" s="2" t="s">
        <v>65</v>
      </c>
      <c r="E130" s="2" t="s">
        <v>57</v>
      </c>
      <c r="F130" s="2" t="s">
        <v>26</v>
      </c>
      <c r="G130" s="2" t="s">
        <v>19</v>
      </c>
      <c r="H130" s="2" t="s">
        <v>51</v>
      </c>
      <c r="I130" s="3" t="s">
        <v>180</v>
      </c>
      <c r="J130" s="4">
        <v>1815.15</v>
      </c>
      <c r="K130" s="2">
        <v>2</v>
      </c>
      <c r="L130" s="5">
        <v>0</v>
      </c>
      <c r="M130" s="12">
        <v>599.94000000000005</v>
      </c>
    </row>
    <row r="131" spans="1:13" x14ac:dyDescent="0.3">
      <c r="A131" s="7" t="s">
        <v>396</v>
      </c>
      <c r="B131" s="8" t="s">
        <v>326</v>
      </c>
      <c r="C131" s="8" t="s">
        <v>256</v>
      </c>
      <c r="D131" s="7" t="s">
        <v>65</v>
      </c>
      <c r="E131" s="7" t="s">
        <v>57</v>
      </c>
      <c r="F131" s="7" t="s">
        <v>34</v>
      </c>
      <c r="G131" s="7" t="s">
        <v>60</v>
      </c>
      <c r="H131" s="7" t="s">
        <v>72</v>
      </c>
      <c r="I131" s="8" t="s">
        <v>139</v>
      </c>
      <c r="J131" s="9">
        <v>1936.12</v>
      </c>
      <c r="K131" s="7">
        <v>10</v>
      </c>
      <c r="L131" s="10">
        <v>0</v>
      </c>
      <c r="M131" s="13">
        <v>572.51</v>
      </c>
    </row>
    <row r="132" spans="1:13" x14ac:dyDescent="0.3">
      <c r="A132" s="2" t="s">
        <v>397</v>
      </c>
      <c r="B132" s="3" t="s">
        <v>398</v>
      </c>
      <c r="C132" s="3" t="s">
        <v>399</v>
      </c>
      <c r="D132" s="2" t="s">
        <v>96</v>
      </c>
      <c r="E132" s="2" t="s">
        <v>57</v>
      </c>
      <c r="F132" s="2" t="s">
        <v>26</v>
      </c>
      <c r="G132" s="2" t="s">
        <v>35</v>
      </c>
      <c r="H132" s="2" t="s">
        <v>81</v>
      </c>
      <c r="I132" s="3" t="s">
        <v>400</v>
      </c>
      <c r="J132" s="4">
        <v>2393.06</v>
      </c>
      <c r="K132" s="2">
        <v>10</v>
      </c>
      <c r="L132" s="5">
        <v>0</v>
      </c>
      <c r="M132" s="12">
        <v>217.23</v>
      </c>
    </row>
    <row r="133" spans="1:13" x14ac:dyDescent="0.3">
      <c r="A133" s="7" t="s">
        <v>401</v>
      </c>
      <c r="B133" s="8" t="s">
        <v>244</v>
      </c>
      <c r="C133" s="8" t="s">
        <v>296</v>
      </c>
      <c r="D133" s="7" t="s">
        <v>71</v>
      </c>
      <c r="E133" s="7" t="s">
        <v>57</v>
      </c>
      <c r="F133" s="7" t="s">
        <v>18</v>
      </c>
      <c r="G133" s="7" t="s">
        <v>35</v>
      </c>
      <c r="H133" s="7" t="s">
        <v>81</v>
      </c>
      <c r="I133" s="8" t="s">
        <v>400</v>
      </c>
      <c r="J133" s="9">
        <v>248.66</v>
      </c>
      <c r="K133" s="7">
        <v>2</v>
      </c>
      <c r="L133" s="10">
        <v>0.2</v>
      </c>
      <c r="M133" s="13">
        <v>46.66</v>
      </c>
    </row>
    <row r="134" spans="1:13" x14ac:dyDescent="0.3">
      <c r="A134" s="2" t="s">
        <v>402</v>
      </c>
      <c r="B134" s="3" t="s">
        <v>403</v>
      </c>
      <c r="C134" s="3" t="s">
        <v>404</v>
      </c>
      <c r="D134" s="2" t="s">
        <v>107</v>
      </c>
      <c r="E134" s="2" t="s">
        <v>33</v>
      </c>
      <c r="F134" s="2" t="s">
        <v>50</v>
      </c>
      <c r="G134" s="2" t="s">
        <v>19</v>
      </c>
      <c r="H134" s="2" t="s">
        <v>20</v>
      </c>
      <c r="I134" s="3" t="s">
        <v>21</v>
      </c>
      <c r="J134" s="4">
        <v>1822.92</v>
      </c>
      <c r="K134" s="2">
        <v>9</v>
      </c>
      <c r="L134" s="5">
        <v>0</v>
      </c>
      <c r="M134" s="12">
        <v>607.19000000000005</v>
      </c>
    </row>
    <row r="135" spans="1:13" x14ac:dyDescent="0.3">
      <c r="A135" s="7" t="s">
        <v>405</v>
      </c>
      <c r="B135" s="8" t="s">
        <v>406</v>
      </c>
      <c r="C135" s="8" t="s">
        <v>407</v>
      </c>
      <c r="D135" s="7" t="s">
        <v>101</v>
      </c>
      <c r="E135" s="7" t="s">
        <v>33</v>
      </c>
      <c r="F135" s="7" t="s">
        <v>50</v>
      </c>
      <c r="G135" s="7" t="s">
        <v>60</v>
      </c>
      <c r="H135" s="7" t="s">
        <v>61</v>
      </c>
      <c r="I135" s="8" t="s">
        <v>226</v>
      </c>
      <c r="J135" s="9">
        <v>136.63999999999999</v>
      </c>
      <c r="K135" s="7">
        <v>8</v>
      </c>
      <c r="L135" s="10">
        <v>0.1</v>
      </c>
      <c r="M135" s="13">
        <v>21.81</v>
      </c>
    </row>
    <row r="136" spans="1:13" x14ac:dyDescent="0.3">
      <c r="A136" s="2" t="s">
        <v>408</v>
      </c>
      <c r="B136" s="3" t="s">
        <v>152</v>
      </c>
      <c r="C136" s="3" t="s">
        <v>409</v>
      </c>
      <c r="D136" s="2" t="s">
        <v>96</v>
      </c>
      <c r="E136" s="2" t="s">
        <v>57</v>
      </c>
      <c r="F136" s="2" t="s">
        <v>18</v>
      </c>
      <c r="G136" s="2" t="s">
        <v>35</v>
      </c>
      <c r="H136" s="2" t="s">
        <v>81</v>
      </c>
      <c r="I136" s="3" t="s">
        <v>82</v>
      </c>
      <c r="J136" s="4">
        <v>2043.12</v>
      </c>
      <c r="K136" s="2">
        <v>1</v>
      </c>
      <c r="L136" s="5">
        <v>0.3</v>
      </c>
      <c r="M136" s="12">
        <v>426.85</v>
      </c>
    </row>
    <row r="137" spans="1:13" x14ac:dyDescent="0.3">
      <c r="A137" s="7" t="s">
        <v>410</v>
      </c>
      <c r="B137" s="8" t="s">
        <v>411</v>
      </c>
      <c r="C137" s="8" t="s">
        <v>412</v>
      </c>
      <c r="D137" s="7" t="s">
        <v>101</v>
      </c>
      <c r="E137" s="7" t="s">
        <v>17</v>
      </c>
      <c r="F137" s="7" t="s">
        <v>34</v>
      </c>
      <c r="G137" s="7" t="s">
        <v>35</v>
      </c>
      <c r="H137" s="7" t="s">
        <v>81</v>
      </c>
      <c r="I137" s="8" t="s">
        <v>400</v>
      </c>
      <c r="J137" s="9">
        <v>2176.73</v>
      </c>
      <c r="K137" s="7">
        <v>10</v>
      </c>
      <c r="L137" s="10">
        <v>0</v>
      </c>
      <c r="M137" s="13">
        <v>181.42</v>
      </c>
    </row>
    <row r="138" spans="1:13" x14ac:dyDescent="0.3">
      <c r="A138" s="2" t="s">
        <v>413</v>
      </c>
      <c r="B138" s="3" t="s">
        <v>414</v>
      </c>
      <c r="C138" s="3" t="s">
        <v>415</v>
      </c>
      <c r="D138" s="2" t="s">
        <v>65</v>
      </c>
      <c r="E138" s="2" t="s">
        <v>57</v>
      </c>
      <c r="F138" s="2" t="s">
        <v>34</v>
      </c>
      <c r="G138" s="2" t="s">
        <v>60</v>
      </c>
      <c r="H138" s="2" t="s">
        <v>200</v>
      </c>
      <c r="I138" s="3" t="s">
        <v>389</v>
      </c>
      <c r="J138" s="4">
        <v>404.28</v>
      </c>
      <c r="K138" s="2">
        <v>2</v>
      </c>
      <c r="L138" s="5">
        <v>0</v>
      </c>
      <c r="M138" s="12">
        <v>70.17</v>
      </c>
    </row>
    <row r="139" spans="1:13" x14ac:dyDescent="0.3">
      <c r="A139" s="7" t="s">
        <v>416</v>
      </c>
      <c r="B139" s="8" t="s">
        <v>168</v>
      </c>
      <c r="C139" s="8" t="s">
        <v>417</v>
      </c>
      <c r="D139" s="7" t="s">
        <v>49</v>
      </c>
      <c r="E139" s="7" t="s">
        <v>57</v>
      </c>
      <c r="F139" s="7" t="s">
        <v>34</v>
      </c>
      <c r="G139" s="7" t="s">
        <v>60</v>
      </c>
      <c r="H139" s="7" t="s">
        <v>72</v>
      </c>
      <c r="I139" s="8" t="s">
        <v>73</v>
      </c>
      <c r="J139" s="9">
        <v>298.49</v>
      </c>
      <c r="K139" s="7">
        <v>7</v>
      </c>
      <c r="L139" s="10">
        <v>0.2</v>
      </c>
      <c r="M139" s="13">
        <v>28.28</v>
      </c>
    </row>
    <row r="140" spans="1:13" x14ac:dyDescent="0.3">
      <c r="A140" s="2" t="s">
        <v>418</v>
      </c>
      <c r="B140" s="3" t="s">
        <v>84</v>
      </c>
      <c r="C140" s="3" t="s">
        <v>419</v>
      </c>
      <c r="D140" s="2" t="s">
        <v>96</v>
      </c>
      <c r="E140" s="2" t="s">
        <v>17</v>
      </c>
      <c r="F140" s="2" t="s">
        <v>18</v>
      </c>
      <c r="G140" s="2" t="s">
        <v>19</v>
      </c>
      <c r="H140" s="2" t="s">
        <v>51</v>
      </c>
      <c r="I140" s="3" t="s">
        <v>180</v>
      </c>
      <c r="J140" s="4">
        <v>2999.93</v>
      </c>
      <c r="K140" s="2">
        <v>3</v>
      </c>
      <c r="L140" s="5">
        <v>0</v>
      </c>
      <c r="M140" s="12">
        <v>204.95</v>
      </c>
    </row>
    <row r="141" spans="1:13" x14ac:dyDescent="0.3">
      <c r="A141" s="7" t="s">
        <v>420</v>
      </c>
      <c r="B141" s="8" t="s">
        <v>421</v>
      </c>
      <c r="C141" s="8" t="s">
        <v>422</v>
      </c>
      <c r="D141" s="7" t="s">
        <v>56</v>
      </c>
      <c r="E141" s="7" t="s">
        <v>17</v>
      </c>
      <c r="F141" s="7" t="s">
        <v>26</v>
      </c>
      <c r="G141" s="7" t="s">
        <v>19</v>
      </c>
      <c r="H141" s="7" t="s">
        <v>102</v>
      </c>
      <c r="I141" s="8" t="s">
        <v>320</v>
      </c>
      <c r="J141" s="9">
        <v>479.67</v>
      </c>
      <c r="K141" s="7">
        <v>3</v>
      </c>
      <c r="L141" s="10">
        <v>0.3</v>
      </c>
      <c r="M141" s="13">
        <v>123.97</v>
      </c>
    </row>
    <row r="142" spans="1:13" x14ac:dyDescent="0.3">
      <c r="A142" s="2" t="s">
        <v>423</v>
      </c>
      <c r="B142" s="3" t="s">
        <v>262</v>
      </c>
      <c r="C142" s="3" t="s">
        <v>271</v>
      </c>
      <c r="D142" s="2" t="s">
        <v>107</v>
      </c>
      <c r="E142" s="2" t="s">
        <v>33</v>
      </c>
      <c r="F142" s="2" t="s">
        <v>34</v>
      </c>
      <c r="G142" s="2" t="s">
        <v>60</v>
      </c>
      <c r="H142" s="2" t="s">
        <v>61</v>
      </c>
      <c r="I142" s="3" t="s">
        <v>226</v>
      </c>
      <c r="J142" s="4">
        <v>2909.37</v>
      </c>
      <c r="K142" s="2">
        <v>10</v>
      </c>
      <c r="L142" s="5">
        <v>0</v>
      </c>
      <c r="M142" s="12">
        <v>730.13</v>
      </c>
    </row>
    <row r="143" spans="1:13" x14ac:dyDescent="0.3">
      <c r="A143" s="7" t="s">
        <v>424</v>
      </c>
      <c r="B143" s="8" t="s">
        <v>425</v>
      </c>
      <c r="C143" s="8" t="s">
        <v>426</v>
      </c>
      <c r="D143" s="7" t="s">
        <v>71</v>
      </c>
      <c r="E143" s="7" t="s">
        <v>33</v>
      </c>
      <c r="F143" s="7" t="s">
        <v>34</v>
      </c>
      <c r="G143" s="7" t="s">
        <v>35</v>
      </c>
      <c r="H143" s="7" t="s">
        <v>86</v>
      </c>
      <c r="I143" s="8" t="s">
        <v>87</v>
      </c>
      <c r="J143" s="9">
        <v>1395.81</v>
      </c>
      <c r="K143" s="7">
        <v>5</v>
      </c>
      <c r="L143" s="10">
        <v>0.1</v>
      </c>
      <c r="M143" s="13">
        <v>210.99</v>
      </c>
    </row>
    <row r="144" spans="1:13" x14ac:dyDescent="0.3">
      <c r="A144" s="2" t="s">
        <v>427</v>
      </c>
      <c r="B144" s="3" t="s">
        <v>348</v>
      </c>
      <c r="C144" s="3" t="s">
        <v>70</v>
      </c>
      <c r="D144" s="2" t="s">
        <v>90</v>
      </c>
      <c r="E144" s="2" t="s">
        <v>33</v>
      </c>
      <c r="F144" s="2" t="s">
        <v>50</v>
      </c>
      <c r="G144" s="2" t="s">
        <v>19</v>
      </c>
      <c r="H144" s="2" t="s">
        <v>102</v>
      </c>
      <c r="I144" s="3" t="s">
        <v>320</v>
      </c>
      <c r="J144" s="4">
        <v>2624.87</v>
      </c>
      <c r="K144" s="2">
        <v>9</v>
      </c>
      <c r="L144" s="5">
        <v>0</v>
      </c>
      <c r="M144" s="12">
        <v>615.69000000000005</v>
      </c>
    </row>
    <row r="145" spans="1:13" x14ac:dyDescent="0.3">
      <c r="A145" s="7" t="s">
        <v>428</v>
      </c>
      <c r="B145" s="8" t="s">
        <v>429</v>
      </c>
      <c r="C145" s="8" t="s">
        <v>165</v>
      </c>
      <c r="D145" s="7" t="s">
        <v>49</v>
      </c>
      <c r="E145" s="7" t="s">
        <v>33</v>
      </c>
      <c r="F145" s="7" t="s">
        <v>26</v>
      </c>
      <c r="G145" s="7" t="s">
        <v>35</v>
      </c>
      <c r="H145" s="7" t="s">
        <v>91</v>
      </c>
      <c r="I145" s="8" t="s">
        <v>162</v>
      </c>
      <c r="J145" s="9">
        <v>2496.52</v>
      </c>
      <c r="K145" s="7">
        <v>2</v>
      </c>
      <c r="L145" s="10">
        <v>0</v>
      </c>
      <c r="M145" s="13">
        <v>690.74</v>
      </c>
    </row>
    <row r="146" spans="1:13" x14ac:dyDescent="0.3">
      <c r="A146" s="2" t="s">
        <v>430</v>
      </c>
      <c r="B146" s="3" t="s">
        <v>141</v>
      </c>
      <c r="C146" s="3" t="s">
        <v>431</v>
      </c>
      <c r="D146" s="2" t="s">
        <v>49</v>
      </c>
      <c r="E146" s="2" t="s">
        <v>33</v>
      </c>
      <c r="F146" s="2" t="s">
        <v>50</v>
      </c>
      <c r="G146" s="2" t="s">
        <v>35</v>
      </c>
      <c r="H146" s="2" t="s">
        <v>91</v>
      </c>
      <c r="I146" s="3" t="s">
        <v>162</v>
      </c>
      <c r="J146" s="4">
        <v>1170.78</v>
      </c>
      <c r="K146" s="2">
        <v>2</v>
      </c>
      <c r="L146" s="5">
        <v>0</v>
      </c>
      <c r="M146" s="12">
        <v>46.62</v>
      </c>
    </row>
    <row r="147" spans="1:13" x14ac:dyDescent="0.3">
      <c r="A147" s="7" t="s">
        <v>432</v>
      </c>
      <c r="B147" s="8" t="s">
        <v>348</v>
      </c>
      <c r="C147" s="8" t="s">
        <v>375</v>
      </c>
      <c r="D147" s="7" t="s">
        <v>101</v>
      </c>
      <c r="E147" s="7" t="s">
        <v>33</v>
      </c>
      <c r="F147" s="7" t="s">
        <v>18</v>
      </c>
      <c r="G147" s="7" t="s">
        <v>35</v>
      </c>
      <c r="H147" s="7" t="s">
        <v>86</v>
      </c>
      <c r="I147" s="8" t="s">
        <v>130</v>
      </c>
      <c r="J147" s="9">
        <v>2094.29</v>
      </c>
      <c r="K147" s="7">
        <v>3</v>
      </c>
      <c r="L147" s="10">
        <v>0.3</v>
      </c>
      <c r="M147" s="13">
        <v>288.27</v>
      </c>
    </row>
    <row r="148" spans="1:13" x14ac:dyDescent="0.3">
      <c r="A148" s="2" t="s">
        <v>433</v>
      </c>
      <c r="B148" s="3" t="s">
        <v>434</v>
      </c>
      <c r="C148" s="3" t="s">
        <v>364</v>
      </c>
      <c r="D148" s="2" t="s">
        <v>41</v>
      </c>
      <c r="E148" s="2" t="s">
        <v>33</v>
      </c>
      <c r="F148" s="2" t="s">
        <v>26</v>
      </c>
      <c r="G148" s="2" t="s">
        <v>19</v>
      </c>
      <c r="H148" s="2" t="s">
        <v>102</v>
      </c>
      <c r="I148" s="3" t="s">
        <v>103</v>
      </c>
      <c r="J148" s="4">
        <v>351.34</v>
      </c>
      <c r="K148" s="2">
        <v>5</v>
      </c>
      <c r="L148" s="5">
        <v>0</v>
      </c>
      <c r="M148" s="12">
        <v>24.76</v>
      </c>
    </row>
    <row r="149" spans="1:13" x14ac:dyDescent="0.3">
      <c r="A149" s="7" t="s">
        <v>435</v>
      </c>
      <c r="B149" s="8" t="s">
        <v>436</v>
      </c>
      <c r="C149" s="8" t="s">
        <v>437</v>
      </c>
      <c r="D149" s="7" t="s">
        <v>65</v>
      </c>
      <c r="E149" s="7" t="s">
        <v>17</v>
      </c>
      <c r="F149" s="7" t="s">
        <v>34</v>
      </c>
      <c r="G149" s="7" t="s">
        <v>19</v>
      </c>
      <c r="H149" s="7" t="s">
        <v>27</v>
      </c>
      <c r="I149" s="8" t="s">
        <v>119</v>
      </c>
      <c r="J149" s="9">
        <v>2513.33</v>
      </c>
      <c r="K149" s="7">
        <v>8</v>
      </c>
      <c r="L149" s="10">
        <v>0.2</v>
      </c>
      <c r="M149" s="13">
        <v>413.25</v>
      </c>
    </row>
    <row r="150" spans="1:13" x14ac:dyDescent="0.3">
      <c r="A150" s="2" t="s">
        <v>438</v>
      </c>
      <c r="B150" s="3" t="s">
        <v>439</v>
      </c>
      <c r="C150" s="3" t="s">
        <v>440</v>
      </c>
      <c r="D150" s="2" t="s">
        <v>65</v>
      </c>
      <c r="E150" s="2" t="s">
        <v>17</v>
      </c>
      <c r="F150" s="2" t="s">
        <v>18</v>
      </c>
      <c r="G150" s="2" t="s">
        <v>35</v>
      </c>
      <c r="H150" s="2" t="s">
        <v>36</v>
      </c>
      <c r="I150" s="3" t="s">
        <v>42</v>
      </c>
      <c r="J150" s="4">
        <v>1852.13</v>
      </c>
      <c r="K150" s="2">
        <v>4</v>
      </c>
      <c r="L150" s="5">
        <v>0.2</v>
      </c>
      <c r="M150" s="12">
        <v>216.01</v>
      </c>
    </row>
    <row r="151" spans="1:13" x14ac:dyDescent="0.3">
      <c r="A151" s="7" t="s">
        <v>441</v>
      </c>
      <c r="B151" s="8" t="s">
        <v>442</v>
      </c>
      <c r="C151" s="8" t="s">
        <v>160</v>
      </c>
      <c r="D151" s="7" t="s">
        <v>107</v>
      </c>
      <c r="E151" s="7" t="s">
        <v>33</v>
      </c>
      <c r="F151" s="7" t="s">
        <v>26</v>
      </c>
      <c r="G151" s="7" t="s">
        <v>60</v>
      </c>
      <c r="H151" s="7" t="s">
        <v>72</v>
      </c>
      <c r="I151" s="8" t="s">
        <v>139</v>
      </c>
      <c r="J151" s="9">
        <v>1531.84</v>
      </c>
      <c r="K151" s="7">
        <v>9</v>
      </c>
      <c r="L151" s="10">
        <v>0.2</v>
      </c>
      <c r="M151" s="11">
        <v>-64.13</v>
      </c>
    </row>
    <row r="152" spans="1:13" x14ac:dyDescent="0.3">
      <c r="A152" s="2" t="s">
        <v>443</v>
      </c>
      <c r="B152" s="3" t="s">
        <v>444</v>
      </c>
      <c r="C152" s="3" t="s">
        <v>445</v>
      </c>
      <c r="D152" s="2" t="s">
        <v>65</v>
      </c>
      <c r="E152" s="2" t="s">
        <v>33</v>
      </c>
      <c r="F152" s="2" t="s">
        <v>50</v>
      </c>
      <c r="G152" s="2" t="s">
        <v>19</v>
      </c>
      <c r="H152" s="2" t="s">
        <v>20</v>
      </c>
      <c r="I152" s="3" t="s">
        <v>446</v>
      </c>
      <c r="J152" s="4">
        <v>2369.79</v>
      </c>
      <c r="K152" s="2">
        <v>6</v>
      </c>
      <c r="L152" s="5">
        <v>0</v>
      </c>
      <c r="M152" s="12">
        <v>576.28</v>
      </c>
    </row>
    <row r="153" spans="1:13" x14ac:dyDescent="0.3">
      <c r="A153" s="7" t="s">
        <v>447</v>
      </c>
      <c r="B153" s="8" t="s">
        <v>155</v>
      </c>
      <c r="C153" s="8" t="s">
        <v>448</v>
      </c>
      <c r="D153" s="7" t="s">
        <v>16</v>
      </c>
      <c r="E153" s="7" t="s">
        <v>57</v>
      </c>
      <c r="F153" s="7" t="s">
        <v>34</v>
      </c>
      <c r="G153" s="7" t="s">
        <v>60</v>
      </c>
      <c r="H153" s="7" t="s">
        <v>66</v>
      </c>
      <c r="I153" s="8" t="s">
        <v>108</v>
      </c>
      <c r="J153" s="9">
        <v>2444.2600000000002</v>
      </c>
      <c r="K153" s="7">
        <v>3</v>
      </c>
      <c r="L153" s="10">
        <v>0.3</v>
      </c>
      <c r="M153" s="13">
        <v>332.05</v>
      </c>
    </row>
    <row r="154" spans="1:13" x14ac:dyDescent="0.3">
      <c r="A154" s="2" t="s">
        <v>449</v>
      </c>
      <c r="B154" s="3" t="s">
        <v>110</v>
      </c>
      <c r="C154" s="3" t="s">
        <v>399</v>
      </c>
      <c r="D154" s="2" t="s">
        <v>49</v>
      </c>
      <c r="E154" s="2" t="s">
        <v>57</v>
      </c>
      <c r="F154" s="2" t="s">
        <v>26</v>
      </c>
      <c r="G154" s="2" t="s">
        <v>35</v>
      </c>
      <c r="H154" s="2" t="s">
        <v>36</v>
      </c>
      <c r="I154" s="3" t="s">
        <v>42</v>
      </c>
      <c r="J154" s="4">
        <v>894.46</v>
      </c>
      <c r="K154" s="2">
        <v>1</v>
      </c>
      <c r="L154" s="5">
        <v>0</v>
      </c>
      <c r="M154" s="12">
        <v>272.2</v>
      </c>
    </row>
    <row r="155" spans="1:13" x14ac:dyDescent="0.3">
      <c r="A155" s="7" t="s">
        <v>450</v>
      </c>
      <c r="B155" s="8" t="s">
        <v>117</v>
      </c>
      <c r="C155" s="8" t="s">
        <v>451</v>
      </c>
      <c r="D155" s="7" t="s">
        <v>96</v>
      </c>
      <c r="E155" s="7" t="s">
        <v>57</v>
      </c>
      <c r="F155" s="7" t="s">
        <v>26</v>
      </c>
      <c r="G155" s="7" t="s">
        <v>19</v>
      </c>
      <c r="H155" s="7" t="s">
        <v>51</v>
      </c>
      <c r="I155" s="8" t="s">
        <v>52</v>
      </c>
      <c r="J155" s="9">
        <v>872.61</v>
      </c>
      <c r="K155" s="7">
        <v>1</v>
      </c>
      <c r="L155" s="10">
        <v>0.3</v>
      </c>
      <c r="M155" s="13">
        <v>72.23</v>
      </c>
    </row>
    <row r="156" spans="1:13" x14ac:dyDescent="0.3">
      <c r="A156" s="2" t="s">
        <v>452</v>
      </c>
      <c r="B156" s="3" t="s">
        <v>330</v>
      </c>
      <c r="C156" s="3" t="s">
        <v>322</v>
      </c>
      <c r="D156" s="2" t="s">
        <v>90</v>
      </c>
      <c r="E156" s="2" t="s">
        <v>57</v>
      </c>
      <c r="F156" s="2" t="s">
        <v>18</v>
      </c>
      <c r="G156" s="2" t="s">
        <v>35</v>
      </c>
      <c r="H156" s="2" t="s">
        <v>91</v>
      </c>
      <c r="I156" s="3" t="s">
        <v>147</v>
      </c>
      <c r="J156" s="4">
        <v>1498.69</v>
      </c>
      <c r="K156" s="2">
        <v>8</v>
      </c>
      <c r="L156" s="5">
        <v>0</v>
      </c>
      <c r="M156" s="12">
        <v>479.17</v>
      </c>
    </row>
    <row r="157" spans="1:13" x14ac:dyDescent="0.3">
      <c r="A157" s="7" t="s">
        <v>453</v>
      </c>
      <c r="B157" s="8" t="s">
        <v>194</v>
      </c>
      <c r="C157" s="8" t="s">
        <v>123</v>
      </c>
      <c r="D157" s="7" t="s">
        <v>65</v>
      </c>
      <c r="E157" s="7" t="s">
        <v>57</v>
      </c>
      <c r="F157" s="7" t="s">
        <v>50</v>
      </c>
      <c r="G157" s="7" t="s">
        <v>35</v>
      </c>
      <c r="H157" s="7" t="s">
        <v>91</v>
      </c>
      <c r="I157" s="8" t="s">
        <v>92</v>
      </c>
      <c r="J157" s="9">
        <v>1645.51</v>
      </c>
      <c r="K157" s="7">
        <v>6</v>
      </c>
      <c r="L157" s="10">
        <v>0</v>
      </c>
      <c r="M157" s="11">
        <v>-29.57</v>
      </c>
    </row>
    <row r="158" spans="1:13" x14ac:dyDescent="0.3">
      <c r="A158" s="2" t="s">
        <v>454</v>
      </c>
      <c r="B158" s="3" t="s">
        <v>455</v>
      </c>
      <c r="C158" s="3" t="s">
        <v>456</v>
      </c>
      <c r="D158" s="2" t="s">
        <v>49</v>
      </c>
      <c r="E158" s="2" t="s">
        <v>17</v>
      </c>
      <c r="F158" s="2" t="s">
        <v>26</v>
      </c>
      <c r="G158" s="2" t="s">
        <v>35</v>
      </c>
      <c r="H158" s="2" t="s">
        <v>91</v>
      </c>
      <c r="I158" s="3" t="s">
        <v>92</v>
      </c>
      <c r="J158" s="4">
        <v>2075.5</v>
      </c>
      <c r="K158" s="2">
        <v>6</v>
      </c>
      <c r="L158" s="5">
        <v>0.1</v>
      </c>
      <c r="M158" s="6">
        <v>-68.61</v>
      </c>
    </row>
    <row r="159" spans="1:13" x14ac:dyDescent="0.3">
      <c r="A159" s="7" t="s">
        <v>457</v>
      </c>
      <c r="B159" s="8" t="s">
        <v>14</v>
      </c>
      <c r="C159" s="8" t="s">
        <v>15</v>
      </c>
      <c r="D159" s="7" t="s">
        <v>101</v>
      </c>
      <c r="E159" s="7" t="s">
        <v>17</v>
      </c>
      <c r="F159" s="7" t="s">
        <v>26</v>
      </c>
      <c r="G159" s="7" t="s">
        <v>19</v>
      </c>
      <c r="H159" s="7" t="s">
        <v>102</v>
      </c>
      <c r="I159" s="8" t="s">
        <v>320</v>
      </c>
      <c r="J159" s="9">
        <v>1102.67</v>
      </c>
      <c r="K159" s="7">
        <v>3</v>
      </c>
      <c r="L159" s="10">
        <v>0</v>
      </c>
      <c r="M159" s="13">
        <v>7.84</v>
      </c>
    </row>
    <row r="160" spans="1:13" x14ac:dyDescent="0.3">
      <c r="A160" s="2" t="s">
        <v>458</v>
      </c>
      <c r="B160" s="3" t="s">
        <v>291</v>
      </c>
      <c r="C160" s="3" t="s">
        <v>459</v>
      </c>
      <c r="D160" s="2" t="s">
        <v>65</v>
      </c>
      <c r="E160" s="2" t="s">
        <v>57</v>
      </c>
      <c r="F160" s="2" t="s">
        <v>50</v>
      </c>
      <c r="G160" s="2" t="s">
        <v>19</v>
      </c>
      <c r="H160" s="2" t="s">
        <v>20</v>
      </c>
      <c r="I160" s="3" t="s">
        <v>150</v>
      </c>
      <c r="J160" s="4">
        <v>1099.21</v>
      </c>
      <c r="K160" s="2">
        <v>10</v>
      </c>
      <c r="L160" s="5">
        <v>0</v>
      </c>
      <c r="M160" s="12">
        <v>211.09</v>
      </c>
    </row>
    <row r="161" spans="1:13" x14ac:dyDescent="0.3">
      <c r="A161" s="7" t="s">
        <v>460</v>
      </c>
      <c r="B161" s="8" t="s">
        <v>331</v>
      </c>
      <c r="C161" s="8" t="s">
        <v>30</v>
      </c>
      <c r="D161" s="7" t="s">
        <v>25</v>
      </c>
      <c r="E161" s="7" t="s">
        <v>33</v>
      </c>
      <c r="F161" s="7" t="s">
        <v>18</v>
      </c>
      <c r="G161" s="7" t="s">
        <v>60</v>
      </c>
      <c r="H161" s="7" t="s">
        <v>61</v>
      </c>
      <c r="I161" s="8" t="s">
        <v>171</v>
      </c>
      <c r="J161" s="9">
        <v>1597.79</v>
      </c>
      <c r="K161" s="7">
        <v>7</v>
      </c>
      <c r="L161" s="10">
        <v>0</v>
      </c>
      <c r="M161" s="13">
        <v>335.26</v>
      </c>
    </row>
    <row r="162" spans="1:13" x14ac:dyDescent="0.3">
      <c r="A162" s="2" t="s">
        <v>461</v>
      </c>
      <c r="B162" s="3" t="s">
        <v>186</v>
      </c>
      <c r="C162" s="3" t="s">
        <v>462</v>
      </c>
      <c r="D162" s="2" t="s">
        <v>16</v>
      </c>
      <c r="E162" s="2" t="s">
        <v>57</v>
      </c>
      <c r="F162" s="2" t="s">
        <v>34</v>
      </c>
      <c r="G162" s="2" t="s">
        <v>60</v>
      </c>
      <c r="H162" s="2" t="s">
        <v>200</v>
      </c>
      <c r="I162" s="3" t="s">
        <v>389</v>
      </c>
      <c r="J162" s="4">
        <v>2742.36</v>
      </c>
      <c r="K162" s="2">
        <v>2</v>
      </c>
      <c r="L162" s="5">
        <v>0</v>
      </c>
      <c r="M162" s="12">
        <v>712.97</v>
      </c>
    </row>
    <row r="163" spans="1:13" x14ac:dyDescent="0.3">
      <c r="A163" s="7" t="s">
        <v>463</v>
      </c>
      <c r="B163" s="8" t="s">
        <v>464</v>
      </c>
      <c r="C163" s="8" t="s">
        <v>182</v>
      </c>
      <c r="D163" s="7" t="s">
        <v>16</v>
      </c>
      <c r="E163" s="7" t="s">
        <v>57</v>
      </c>
      <c r="F163" s="7" t="s">
        <v>18</v>
      </c>
      <c r="G163" s="7" t="s">
        <v>35</v>
      </c>
      <c r="H163" s="7" t="s">
        <v>91</v>
      </c>
      <c r="I163" s="8" t="s">
        <v>147</v>
      </c>
      <c r="J163" s="9">
        <v>385.46</v>
      </c>
      <c r="K163" s="7">
        <v>2</v>
      </c>
      <c r="L163" s="10">
        <v>0.1</v>
      </c>
      <c r="M163" s="13">
        <v>7.35</v>
      </c>
    </row>
    <row r="164" spans="1:13" x14ac:dyDescent="0.3">
      <c r="A164" s="2" t="s">
        <v>465</v>
      </c>
      <c r="B164" s="3" t="s">
        <v>207</v>
      </c>
      <c r="C164" s="3" t="s">
        <v>357</v>
      </c>
      <c r="D164" s="2" t="s">
        <v>16</v>
      </c>
      <c r="E164" s="2" t="s">
        <v>17</v>
      </c>
      <c r="F164" s="2" t="s">
        <v>34</v>
      </c>
      <c r="G164" s="2" t="s">
        <v>35</v>
      </c>
      <c r="H164" s="2" t="s">
        <v>36</v>
      </c>
      <c r="I164" s="3" t="s">
        <v>37</v>
      </c>
      <c r="J164" s="4">
        <v>1658.99</v>
      </c>
      <c r="K164" s="2">
        <v>5</v>
      </c>
      <c r="L164" s="5">
        <v>0</v>
      </c>
      <c r="M164" s="12">
        <v>482.01</v>
      </c>
    </row>
    <row r="165" spans="1:13" x14ac:dyDescent="0.3">
      <c r="A165" s="7" t="s">
        <v>466</v>
      </c>
      <c r="B165" s="8" t="s">
        <v>75</v>
      </c>
      <c r="C165" s="8" t="s">
        <v>467</v>
      </c>
      <c r="D165" s="7" t="s">
        <v>90</v>
      </c>
      <c r="E165" s="7" t="s">
        <v>17</v>
      </c>
      <c r="F165" s="7" t="s">
        <v>50</v>
      </c>
      <c r="G165" s="7" t="s">
        <v>19</v>
      </c>
      <c r="H165" s="7" t="s">
        <v>51</v>
      </c>
      <c r="I165" s="8" t="s">
        <v>52</v>
      </c>
      <c r="J165" s="9">
        <v>2380.36</v>
      </c>
      <c r="K165" s="7">
        <v>4</v>
      </c>
      <c r="L165" s="10">
        <v>0.1</v>
      </c>
      <c r="M165" s="11">
        <v>-93.99</v>
      </c>
    </row>
    <row r="166" spans="1:13" x14ac:dyDescent="0.3">
      <c r="A166" s="2" t="s">
        <v>468</v>
      </c>
      <c r="B166" s="3" t="s">
        <v>469</v>
      </c>
      <c r="C166" s="3" t="s">
        <v>470</v>
      </c>
      <c r="D166" s="2" t="s">
        <v>90</v>
      </c>
      <c r="E166" s="2" t="s">
        <v>57</v>
      </c>
      <c r="F166" s="2" t="s">
        <v>26</v>
      </c>
      <c r="G166" s="2" t="s">
        <v>60</v>
      </c>
      <c r="H166" s="2" t="s">
        <v>217</v>
      </c>
      <c r="I166" s="3" t="s">
        <v>292</v>
      </c>
      <c r="J166" s="4">
        <v>215.93</v>
      </c>
      <c r="K166" s="2">
        <v>7</v>
      </c>
      <c r="L166" s="5">
        <v>0.3</v>
      </c>
      <c r="M166" s="12">
        <v>51.29</v>
      </c>
    </row>
    <row r="167" spans="1:13" x14ac:dyDescent="0.3">
      <c r="A167" s="7" t="s">
        <v>471</v>
      </c>
      <c r="B167" s="8" t="s">
        <v>472</v>
      </c>
      <c r="C167" s="8" t="s">
        <v>473</v>
      </c>
      <c r="D167" s="7" t="s">
        <v>90</v>
      </c>
      <c r="E167" s="7" t="s">
        <v>17</v>
      </c>
      <c r="F167" s="7" t="s">
        <v>34</v>
      </c>
      <c r="G167" s="7" t="s">
        <v>35</v>
      </c>
      <c r="H167" s="7" t="s">
        <v>36</v>
      </c>
      <c r="I167" s="8" t="s">
        <v>166</v>
      </c>
      <c r="J167" s="9">
        <v>1360.92</v>
      </c>
      <c r="K167" s="7">
        <v>9</v>
      </c>
      <c r="L167" s="10">
        <v>0</v>
      </c>
      <c r="M167" s="13">
        <v>1.82</v>
      </c>
    </row>
    <row r="168" spans="1:13" x14ac:dyDescent="0.3">
      <c r="A168" s="2" t="s">
        <v>474</v>
      </c>
      <c r="B168" s="3" t="s">
        <v>475</v>
      </c>
      <c r="C168" s="3" t="s">
        <v>331</v>
      </c>
      <c r="D168" s="2" t="s">
        <v>16</v>
      </c>
      <c r="E168" s="2" t="s">
        <v>33</v>
      </c>
      <c r="F168" s="2" t="s">
        <v>50</v>
      </c>
      <c r="G168" s="2" t="s">
        <v>19</v>
      </c>
      <c r="H168" s="2" t="s">
        <v>27</v>
      </c>
      <c r="I168" s="3" t="s">
        <v>119</v>
      </c>
      <c r="J168" s="4">
        <v>1563.94</v>
      </c>
      <c r="K168" s="2">
        <v>5</v>
      </c>
      <c r="L168" s="5">
        <v>0</v>
      </c>
      <c r="M168" s="12">
        <v>23.13</v>
      </c>
    </row>
    <row r="169" spans="1:13" x14ac:dyDescent="0.3">
      <c r="A169" s="7" t="s">
        <v>476</v>
      </c>
      <c r="B169" s="8" t="s">
        <v>477</v>
      </c>
      <c r="C169" s="8" t="s">
        <v>478</v>
      </c>
      <c r="D169" s="7" t="s">
        <v>32</v>
      </c>
      <c r="E169" s="7" t="s">
        <v>17</v>
      </c>
      <c r="F169" s="7" t="s">
        <v>18</v>
      </c>
      <c r="G169" s="7" t="s">
        <v>35</v>
      </c>
      <c r="H169" s="7" t="s">
        <v>91</v>
      </c>
      <c r="I169" s="8" t="s">
        <v>147</v>
      </c>
      <c r="J169" s="9">
        <v>1912.47</v>
      </c>
      <c r="K169" s="7">
        <v>9</v>
      </c>
      <c r="L169" s="10">
        <v>0</v>
      </c>
      <c r="M169" s="13">
        <v>0.13</v>
      </c>
    </row>
    <row r="170" spans="1:13" x14ac:dyDescent="0.3">
      <c r="A170" s="2" t="s">
        <v>479</v>
      </c>
      <c r="B170" s="3" t="s">
        <v>328</v>
      </c>
      <c r="C170" s="3" t="s">
        <v>354</v>
      </c>
      <c r="D170" s="2" t="s">
        <v>49</v>
      </c>
      <c r="E170" s="2" t="s">
        <v>17</v>
      </c>
      <c r="F170" s="2" t="s">
        <v>18</v>
      </c>
      <c r="G170" s="2" t="s">
        <v>60</v>
      </c>
      <c r="H170" s="2" t="s">
        <v>72</v>
      </c>
      <c r="I170" s="3" t="s">
        <v>73</v>
      </c>
      <c r="J170" s="4">
        <v>479.5</v>
      </c>
      <c r="K170" s="2">
        <v>10</v>
      </c>
      <c r="L170" s="5">
        <v>0.3</v>
      </c>
      <c r="M170" s="12">
        <v>149.03</v>
      </c>
    </row>
    <row r="171" spans="1:13" x14ac:dyDescent="0.3">
      <c r="A171" s="7" t="s">
        <v>480</v>
      </c>
      <c r="B171" s="8" t="s">
        <v>137</v>
      </c>
      <c r="C171" s="8" t="s">
        <v>406</v>
      </c>
      <c r="D171" s="7" t="s">
        <v>65</v>
      </c>
      <c r="E171" s="7" t="s">
        <v>33</v>
      </c>
      <c r="F171" s="7" t="s">
        <v>26</v>
      </c>
      <c r="G171" s="7" t="s">
        <v>60</v>
      </c>
      <c r="H171" s="7" t="s">
        <v>72</v>
      </c>
      <c r="I171" s="8" t="s">
        <v>481</v>
      </c>
      <c r="J171" s="9">
        <v>808.67</v>
      </c>
      <c r="K171" s="7">
        <v>4</v>
      </c>
      <c r="L171" s="10">
        <v>0.2</v>
      </c>
      <c r="M171" s="13">
        <v>94.32</v>
      </c>
    </row>
    <row r="172" spans="1:13" x14ac:dyDescent="0.3">
      <c r="A172" s="2" t="s">
        <v>482</v>
      </c>
      <c r="B172" s="3" t="s">
        <v>386</v>
      </c>
      <c r="C172" s="3" t="s">
        <v>251</v>
      </c>
      <c r="D172" s="2" t="s">
        <v>16</v>
      </c>
      <c r="E172" s="2" t="s">
        <v>33</v>
      </c>
      <c r="F172" s="2" t="s">
        <v>34</v>
      </c>
      <c r="G172" s="2" t="s">
        <v>60</v>
      </c>
      <c r="H172" s="2" t="s">
        <v>66</v>
      </c>
      <c r="I172" s="3" t="s">
        <v>67</v>
      </c>
      <c r="J172" s="4">
        <v>1459.18</v>
      </c>
      <c r="K172" s="2">
        <v>7</v>
      </c>
      <c r="L172" s="5">
        <v>0</v>
      </c>
      <c r="M172" s="12">
        <v>191.76</v>
      </c>
    </row>
    <row r="173" spans="1:13" x14ac:dyDescent="0.3">
      <c r="A173" s="7" t="s">
        <v>483</v>
      </c>
      <c r="B173" s="8" t="s">
        <v>192</v>
      </c>
      <c r="C173" s="8" t="s">
        <v>194</v>
      </c>
      <c r="D173" s="7" t="s">
        <v>49</v>
      </c>
      <c r="E173" s="7" t="s">
        <v>17</v>
      </c>
      <c r="F173" s="7" t="s">
        <v>50</v>
      </c>
      <c r="G173" s="7" t="s">
        <v>35</v>
      </c>
      <c r="H173" s="7" t="s">
        <v>91</v>
      </c>
      <c r="I173" s="8" t="s">
        <v>92</v>
      </c>
      <c r="J173" s="9">
        <v>1033.77</v>
      </c>
      <c r="K173" s="7">
        <v>3</v>
      </c>
      <c r="L173" s="10">
        <v>0</v>
      </c>
      <c r="M173" s="13">
        <v>304.54000000000002</v>
      </c>
    </row>
    <row r="174" spans="1:13" x14ac:dyDescent="0.3">
      <c r="A174" s="2" t="s">
        <v>484</v>
      </c>
      <c r="B174" s="3" t="s">
        <v>459</v>
      </c>
      <c r="C174" s="3" t="s">
        <v>348</v>
      </c>
      <c r="D174" s="2" t="s">
        <v>107</v>
      </c>
      <c r="E174" s="2" t="s">
        <v>33</v>
      </c>
      <c r="F174" s="2" t="s">
        <v>34</v>
      </c>
      <c r="G174" s="2" t="s">
        <v>60</v>
      </c>
      <c r="H174" s="2" t="s">
        <v>72</v>
      </c>
      <c r="I174" s="3" t="s">
        <v>73</v>
      </c>
      <c r="J174" s="4">
        <v>336.43</v>
      </c>
      <c r="K174" s="2">
        <v>4</v>
      </c>
      <c r="L174" s="5">
        <v>0.1</v>
      </c>
      <c r="M174" s="6">
        <v>-0.33</v>
      </c>
    </row>
    <row r="175" spans="1:13" x14ac:dyDescent="0.3">
      <c r="A175" s="7" t="s">
        <v>485</v>
      </c>
      <c r="B175" s="8" t="s">
        <v>486</v>
      </c>
      <c r="C175" s="8" t="s">
        <v>132</v>
      </c>
      <c r="D175" s="7" t="s">
        <v>16</v>
      </c>
      <c r="E175" s="7" t="s">
        <v>57</v>
      </c>
      <c r="F175" s="7" t="s">
        <v>34</v>
      </c>
      <c r="G175" s="7" t="s">
        <v>35</v>
      </c>
      <c r="H175" s="7" t="s">
        <v>86</v>
      </c>
      <c r="I175" s="8" t="s">
        <v>130</v>
      </c>
      <c r="J175" s="9">
        <v>759.85</v>
      </c>
      <c r="K175" s="7">
        <v>3</v>
      </c>
      <c r="L175" s="10">
        <v>0</v>
      </c>
      <c r="M175" s="13">
        <v>245.81</v>
      </c>
    </row>
    <row r="176" spans="1:13" x14ac:dyDescent="0.3">
      <c r="A176" s="2" t="s">
        <v>487</v>
      </c>
      <c r="B176" s="3" t="s">
        <v>294</v>
      </c>
      <c r="C176" s="3" t="s">
        <v>488</v>
      </c>
      <c r="D176" s="2" t="s">
        <v>71</v>
      </c>
      <c r="E176" s="2" t="s">
        <v>17</v>
      </c>
      <c r="F176" s="2" t="s">
        <v>26</v>
      </c>
      <c r="G176" s="2" t="s">
        <v>35</v>
      </c>
      <c r="H176" s="2" t="s">
        <v>86</v>
      </c>
      <c r="I176" s="3" t="s">
        <v>130</v>
      </c>
      <c r="J176" s="4">
        <v>2639.65</v>
      </c>
      <c r="K176" s="2">
        <v>8</v>
      </c>
      <c r="L176" s="5">
        <v>0</v>
      </c>
      <c r="M176" s="6">
        <v>-36.9</v>
      </c>
    </row>
    <row r="177" spans="1:13" x14ac:dyDescent="0.3">
      <c r="A177" s="7" t="s">
        <v>489</v>
      </c>
      <c r="B177" s="8" t="s">
        <v>490</v>
      </c>
      <c r="C177" s="8" t="s">
        <v>47</v>
      </c>
      <c r="D177" s="7" t="s">
        <v>65</v>
      </c>
      <c r="E177" s="7" t="s">
        <v>17</v>
      </c>
      <c r="F177" s="7" t="s">
        <v>26</v>
      </c>
      <c r="G177" s="7" t="s">
        <v>35</v>
      </c>
      <c r="H177" s="7" t="s">
        <v>36</v>
      </c>
      <c r="I177" s="8" t="s">
        <v>37</v>
      </c>
      <c r="J177" s="9">
        <v>170.61</v>
      </c>
      <c r="K177" s="7">
        <v>8</v>
      </c>
      <c r="L177" s="10">
        <v>0.2</v>
      </c>
      <c r="M177" s="13">
        <v>51.68</v>
      </c>
    </row>
    <row r="178" spans="1:13" x14ac:dyDescent="0.3">
      <c r="A178" s="2" t="s">
        <v>491</v>
      </c>
      <c r="B178" s="3" t="s">
        <v>173</v>
      </c>
      <c r="C178" s="3" t="s">
        <v>125</v>
      </c>
      <c r="D178" s="2" t="s">
        <v>71</v>
      </c>
      <c r="E178" s="2" t="s">
        <v>57</v>
      </c>
      <c r="F178" s="2" t="s">
        <v>18</v>
      </c>
      <c r="G178" s="2" t="s">
        <v>19</v>
      </c>
      <c r="H178" s="2" t="s">
        <v>102</v>
      </c>
      <c r="I178" s="3" t="s">
        <v>196</v>
      </c>
      <c r="J178" s="4">
        <v>419.13</v>
      </c>
      <c r="K178" s="2">
        <v>5</v>
      </c>
      <c r="L178" s="5">
        <v>0.3</v>
      </c>
      <c r="M178" s="12">
        <v>40.369999999999997</v>
      </c>
    </row>
    <row r="179" spans="1:13" x14ac:dyDescent="0.3">
      <c r="A179" s="7" t="s">
        <v>492</v>
      </c>
      <c r="B179" s="8" t="s">
        <v>448</v>
      </c>
      <c r="C179" s="8" t="s">
        <v>110</v>
      </c>
      <c r="D179" s="7" t="s">
        <v>107</v>
      </c>
      <c r="E179" s="7" t="s">
        <v>17</v>
      </c>
      <c r="F179" s="7" t="s">
        <v>50</v>
      </c>
      <c r="G179" s="7" t="s">
        <v>60</v>
      </c>
      <c r="H179" s="7" t="s">
        <v>61</v>
      </c>
      <c r="I179" s="8" t="s">
        <v>171</v>
      </c>
      <c r="J179" s="9">
        <v>1100.32</v>
      </c>
      <c r="K179" s="7">
        <v>5</v>
      </c>
      <c r="L179" s="10">
        <v>0</v>
      </c>
      <c r="M179" s="13">
        <v>115.03</v>
      </c>
    </row>
    <row r="180" spans="1:13" x14ac:dyDescent="0.3">
      <c r="A180" s="2" t="s">
        <v>493</v>
      </c>
      <c r="B180" s="3" t="s">
        <v>494</v>
      </c>
      <c r="C180" s="3" t="s">
        <v>274</v>
      </c>
      <c r="D180" s="2" t="s">
        <v>49</v>
      </c>
      <c r="E180" s="2" t="s">
        <v>17</v>
      </c>
      <c r="F180" s="2" t="s">
        <v>50</v>
      </c>
      <c r="G180" s="2" t="s">
        <v>19</v>
      </c>
      <c r="H180" s="2" t="s">
        <v>51</v>
      </c>
      <c r="I180" s="3" t="s">
        <v>112</v>
      </c>
      <c r="J180" s="4">
        <v>2925.75</v>
      </c>
      <c r="K180" s="2">
        <v>7</v>
      </c>
      <c r="L180" s="5">
        <v>0</v>
      </c>
      <c r="M180" s="12">
        <v>783.98</v>
      </c>
    </row>
    <row r="181" spans="1:13" x14ac:dyDescent="0.3">
      <c r="A181" s="7" t="s">
        <v>495</v>
      </c>
      <c r="B181" s="8" t="s">
        <v>232</v>
      </c>
      <c r="C181" s="8" t="s">
        <v>54</v>
      </c>
      <c r="D181" s="7" t="s">
        <v>49</v>
      </c>
      <c r="E181" s="7" t="s">
        <v>57</v>
      </c>
      <c r="F181" s="7" t="s">
        <v>26</v>
      </c>
      <c r="G181" s="7" t="s">
        <v>60</v>
      </c>
      <c r="H181" s="7" t="s">
        <v>200</v>
      </c>
      <c r="I181" s="8" t="s">
        <v>496</v>
      </c>
      <c r="J181" s="9">
        <v>1510.23</v>
      </c>
      <c r="K181" s="7">
        <v>1</v>
      </c>
      <c r="L181" s="10">
        <v>0</v>
      </c>
      <c r="M181" s="13">
        <v>7.27</v>
      </c>
    </row>
    <row r="182" spans="1:13" x14ac:dyDescent="0.3">
      <c r="A182" s="2" t="s">
        <v>497</v>
      </c>
      <c r="B182" s="3" t="s">
        <v>498</v>
      </c>
      <c r="C182" s="3" t="s">
        <v>499</v>
      </c>
      <c r="D182" s="2" t="s">
        <v>101</v>
      </c>
      <c r="E182" s="2" t="s">
        <v>17</v>
      </c>
      <c r="F182" s="2" t="s">
        <v>50</v>
      </c>
      <c r="G182" s="2" t="s">
        <v>19</v>
      </c>
      <c r="H182" s="2" t="s">
        <v>20</v>
      </c>
      <c r="I182" s="3" t="s">
        <v>21</v>
      </c>
      <c r="J182" s="4">
        <v>2795.48</v>
      </c>
      <c r="K182" s="2">
        <v>6</v>
      </c>
      <c r="L182" s="5">
        <v>0</v>
      </c>
      <c r="M182" s="12">
        <v>299.62</v>
      </c>
    </row>
    <row r="183" spans="1:13" x14ac:dyDescent="0.3">
      <c r="A183" s="7" t="s">
        <v>500</v>
      </c>
      <c r="B183" s="8" t="s">
        <v>421</v>
      </c>
      <c r="C183" s="8" t="s">
        <v>422</v>
      </c>
      <c r="D183" s="7" t="s">
        <v>41</v>
      </c>
      <c r="E183" s="7" t="s">
        <v>57</v>
      </c>
      <c r="F183" s="7" t="s">
        <v>50</v>
      </c>
      <c r="G183" s="7" t="s">
        <v>60</v>
      </c>
      <c r="H183" s="7" t="s">
        <v>72</v>
      </c>
      <c r="I183" s="8" t="s">
        <v>481</v>
      </c>
      <c r="J183" s="9">
        <v>1479.74</v>
      </c>
      <c r="K183" s="7">
        <v>10</v>
      </c>
      <c r="L183" s="10">
        <v>0</v>
      </c>
      <c r="M183" s="13">
        <v>207.1</v>
      </c>
    </row>
    <row r="184" spans="1:13" x14ac:dyDescent="0.3">
      <c r="A184" s="2" t="s">
        <v>501</v>
      </c>
      <c r="B184" s="3" t="s">
        <v>380</v>
      </c>
      <c r="C184" s="3" t="s">
        <v>89</v>
      </c>
      <c r="D184" s="2" t="s">
        <v>65</v>
      </c>
      <c r="E184" s="2" t="s">
        <v>17</v>
      </c>
      <c r="F184" s="2" t="s">
        <v>34</v>
      </c>
      <c r="G184" s="2" t="s">
        <v>60</v>
      </c>
      <c r="H184" s="2" t="s">
        <v>66</v>
      </c>
      <c r="I184" s="3" t="s">
        <v>143</v>
      </c>
      <c r="J184" s="4">
        <v>2394.33</v>
      </c>
      <c r="K184" s="2">
        <v>1</v>
      </c>
      <c r="L184" s="5">
        <v>0.2</v>
      </c>
      <c r="M184" s="12">
        <v>334.81</v>
      </c>
    </row>
    <row r="185" spans="1:13" x14ac:dyDescent="0.3">
      <c r="A185" s="7" t="s">
        <v>502</v>
      </c>
      <c r="B185" s="8" t="s">
        <v>448</v>
      </c>
      <c r="C185" s="8" t="s">
        <v>110</v>
      </c>
      <c r="D185" s="7" t="s">
        <v>65</v>
      </c>
      <c r="E185" s="7" t="s">
        <v>33</v>
      </c>
      <c r="F185" s="7" t="s">
        <v>18</v>
      </c>
      <c r="G185" s="7" t="s">
        <v>35</v>
      </c>
      <c r="H185" s="7" t="s">
        <v>91</v>
      </c>
      <c r="I185" s="8" t="s">
        <v>147</v>
      </c>
      <c r="J185" s="9">
        <v>1582.21</v>
      </c>
      <c r="K185" s="7">
        <v>10</v>
      </c>
      <c r="L185" s="10">
        <v>0.1</v>
      </c>
      <c r="M185" s="13">
        <v>14.41</v>
      </c>
    </row>
    <row r="186" spans="1:13" x14ac:dyDescent="0.3">
      <c r="A186" s="2" t="s">
        <v>503</v>
      </c>
      <c r="B186" s="3" t="s">
        <v>504</v>
      </c>
      <c r="C186" s="3" t="s">
        <v>505</v>
      </c>
      <c r="D186" s="2" t="s">
        <v>25</v>
      </c>
      <c r="E186" s="2" t="s">
        <v>57</v>
      </c>
      <c r="F186" s="2" t="s">
        <v>26</v>
      </c>
      <c r="G186" s="2" t="s">
        <v>19</v>
      </c>
      <c r="H186" s="2" t="s">
        <v>27</v>
      </c>
      <c r="I186" s="3" t="s">
        <v>119</v>
      </c>
      <c r="J186" s="4">
        <v>1334.29</v>
      </c>
      <c r="K186" s="2">
        <v>7</v>
      </c>
      <c r="L186" s="5">
        <v>0</v>
      </c>
      <c r="M186" s="12">
        <v>153.69</v>
      </c>
    </row>
    <row r="187" spans="1:13" x14ac:dyDescent="0.3">
      <c r="A187" s="7" t="s">
        <v>506</v>
      </c>
      <c r="B187" s="8" t="s">
        <v>507</v>
      </c>
      <c r="C187" s="8" t="s">
        <v>508</v>
      </c>
      <c r="D187" s="7" t="s">
        <v>56</v>
      </c>
      <c r="E187" s="7" t="s">
        <v>57</v>
      </c>
      <c r="F187" s="7" t="s">
        <v>50</v>
      </c>
      <c r="G187" s="7" t="s">
        <v>19</v>
      </c>
      <c r="H187" s="7" t="s">
        <v>51</v>
      </c>
      <c r="I187" s="8" t="s">
        <v>180</v>
      </c>
      <c r="J187" s="9">
        <v>1691.44</v>
      </c>
      <c r="K187" s="7">
        <v>8</v>
      </c>
      <c r="L187" s="10">
        <v>0.2</v>
      </c>
      <c r="M187" s="13">
        <v>170.38</v>
      </c>
    </row>
    <row r="188" spans="1:13" x14ac:dyDescent="0.3">
      <c r="A188" s="2" t="s">
        <v>509</v>
      </c>
      <c r="B188" s="3" t="s">
        <v>510</v>
      </c>
      <c r="C188" s="3" t="s">
        <v>161</v>
      </c>
      <c r="D188" s="2" t="s">
        <v>32</v>
      </c>
      <c r="E188" s="2" t="s">
        <v>33</v>
      </c>
      <c r="F188" s="2" t="s">
        <v>50</v>
      </c>
      <c r="G188" s="2" t="s">
        <v>60</v>
      </c>
      <c r="H188" s="2" t="s">
        <v>66</v>
      </c>
      <c r="I188" s="3" t="s">
        <v>67</v>
      </c>
      <c r="J188" s="4">
        <v>1838.03</v>
      </c>
      <c r="K188" s="2">
        <v>4</v>
      </c>
      <c r="L188" s="5">
        <v>0</v>
      </c>
      <c r="M188" s="12">
        <v>113.23</v>
      </c>
    </row>
    <row r="189" spans="1:13" x14ac:dyDescent="0.3">
      <c r="A189" s="7" t="s">
        <v>511</v>
      </c>
      <c r="B189" s="8" t="s">
        <v>505</v>
      </c>
      <c r="C189" s="8" t="s">
        <v>512</v>
      </c>
      <c r="D189" s="7" t="s">
        <v>16</v>
      </c>
      <c r="E189" s="7" t="s">
        <v>57</v>
      </c>
      <c r="F189" s="7" t="s">
        <v>50</v>
      </c>
      <c r="G189" s="7" t="s">
        <v>60</v>
      </c>
      <c r="H189" s="7" t="s">
        <v>200</v>
      </c>
      <c r="I189" s="8" t="s">
        <v>496</v>
      </c>
      <c r="J189" s="9">
        <v>964.78</v>
      </c>
      <c r="K189" s="7">
        <v>6</v>
      </c>
      <c r="L189" s="10">
        <v>0.2</v>
      </c>
      <c r="M189" s="13">
        <v>312.08999999999997</v>
      </c>
    </row>
    <row r="190" spans="1:13" x14ac:dyDescent="0.3">
      <c r="A190" s="2" t="s">
        <v>513</v>
      </c>
      <c r="B190" s="3" t="s">
        <v>514</v>
      </c>
      <c r="C190" s="3" t="s">
        <v>515</v>
      </c>
      <c r="D190" s="2" t="s">
        <v>56</v>
      </c>
      <c r="E190" s="2" t="s">
        <v>57</v>
      </c>
      <c r="F190" s="2" t="s">
        <v>18</v>
      </c>
      <c r="G190" s="2" t="s">
        <v>60</v>
      </c>
      <c r="H190" s="2" t="s">
        <v>200</v>
      </c>
      <c r="I190" s="3" t="s">
        <v>201</v>
      </c>
      <c r="J190" s="4">
        <v>2689.37</v>
      </c>
      <c r="K190" s="2">
        <v>7</v>
      </c>
      <c r="L190" s="5">
        <v>0</v>
      </c>
      <c r="M190" s="12">
        <v>892.45</v>
      </c>
    </row>
    <row r="191" spans="1:13" x14ac:dyDescent="0.3">
      <c r="A191" s="7" t="s">
        <v>516</v>
      </c>
      <c r="B191" s="8" t="s">
        <v>473</v>
      </c>
      <c r="C191" s="8" t="s">
        <v>517</v>
      </c>
      <c r="D191" s="7" t="s">
        <v>32</v>
      </c>
      <c r="E191" s="7" t="s">
        <v>17</v>
      </c>
      <c r="F191" s="7" t="s">
        <v>50</v>
      </c>
      <c r="G191" s="7" t="s">
        <v>35</v>
      </c>
      <c r="H191" s="7" t="s">
        <v>81</v>
      </c>
      <c r="I191" s="8" t="s">
        <v>97</v>
      </c>
      <c r="J191" s="9">
        <v>2247.0700000000002</v>
      </c>
      <c r="K191" s="7">
        <v>4</v>
      </c>
      <c r="L191" s="10">
        <v>0</v>
      </c>
      <c r="M191" s="13">
        <v>631.83000000000004</v>
      </c>
    </row>
    <row r="192" spans="1:13" x14ac:dyDescent="0.3">
      <c r="A192" s="2" t="s">
        <v>518</v>
      </c>
      <c r="B192" s="3" t="s">
        <v>519</v>
      </c>
      <c r="C192" s="3" t="s">
        <v>89</v>
      </c>
      <c r="D192" s="2" t="s">
        <v>25</v>
      </c>
      <c r="E192" s="2" t="s">
        <v>17</v>
      </c>
      <c r="F192" s="2" t="s">
        <v>34</v>
      </c>
      <c r="G192" s="2" t="s">
        <v>60</v>
      </c>
      <c r="H192" s="2" t="s">
        <v>72</v>
      </c>
      <c r="I192" s="3" t="s">
        <v>73</v>
      </c>
      <c r="J192" s="4">
        <v>733.06</v>
      </c>
      <c r="K192" s="2">
        <v>1</v>
      </c>
      <c r="L192" s="5">
        <v>0.3</v>
      </c>
      <c r="M192" s="12">
        <v>228.77</v>
      </c>
    </row>
    <row r="193" spans="1:13" x14ac:dyDescent="0.3">
      <c r="A193" s="7" t="s">
        <v>520</v>
      </c>
      <c r="B193" s="8" t="s">
        <v>315</v>
      </c>
      <c r="C193" s="8" t="s">
        <v>380</v>
      </c>
      <c r="D193" s="7" t="s">
        <v>56</v>
      </c>
      <c r="E193" s="7" t="s">
        <v>57</v>
      </c>
      <c r="F193" s="7" t="s">
        <v>26</v>
      </c>
      <c r="G193" s="7" t="s">
        <v>35</v>
      </c>
      <c r="H193" s="7" t="s">
        <v>86</v>
      </c>
      <c r="I193" s="8" t="s">
        <v>205</v>
      </c>
      <c r="J193" s="9">
        <v>319.62</v>
      </c>
      <c r="K193" s="7">
        <v>3</v>
      </c>
      <c r="L193" s="10">
        <v>0</v>
      </c>
      <c r="M193" s="13">
        <v>107.33</v>
      </c>
    </row>
    <row r="194" spans="1:13" x14ac:dyDescent="0.3">
      <c r="A194" s="2" t="s">
        <v>521</v>
      </c>
      <c r="B194" s="3" t="s">
        <v>522</v>
      </c>
      <c r="C194" s="3" t="s">
        <v>372</v>
      </c>
      <c r="D194" s="2" t="s">
        <v>25</v>
      </c>
      <c r="E194" s="2" t="s">
        <v>17</v>
      </c>
      <c r="F194" s="2" t="s">
        <v>18</v>
      </c>
      <c r="G194" s="2" t="s">
        <v>35</v>
      </c>
      <c r="H194" s="2" t="s">
        <v>81</v>
      </c>
      <c r="I194" s="3" t="s">
        <v>97</v>
      </c>
      <c r="J194" s="4">
        <v>870.54</v>
      </c>
      <c r="K194" s="2">
        <v>1</v>
      </c>
      <c r="L194" s="5">
        <v>0</v>
      </c>
      <c r="M194" s="12">
        <v>183.61</v>
      </c>
    </row>
    <row r="195" spans="1:13" x14ac:dyDescent="0.3">
      <c r="A195" s="7" t="s">
        <v>523</v>
      </c>
      <c r="B195" s="8" t="s">
        <v>524</v>
      </c>
      <c r="C195" s="8" t="s">
        <v>23</v>
      </c>
      <c r="D195" s="7" t="s">
        <v>32</v>
      </c>
      <c r="E195" s="7" t="s">
        <v>33</v>
      </c>
      <c r="F195" s="7" t="s">
        <v>18</v>
      </c>
      <c r="G195" s="7" t="s">
        <v>19</v>
      </c>
      <c r="H195" s="7" t="s">
        <v>102</v>
      </c>
      <c r="I195" s="8" t="s">
        <v>196</v>
      </c>
      <c r="J195" s="9">
        <v>2368.12</v>
      </c>
      <c r="K195" s="7">
        <v>3</v>
      </c>
      <c r="L195" s="10">
        <v>0.3</v>
      </c>
      <c r="M195" s="13">
        <v>792.97</v>
      </c>
    </row>
    <row r="196" spans="1:13" x14ac:dyDescent="0.3">
      <c r="A196" s="2" t="s">
        <v>525</v>
      </c>
      <c r="B196" s="3" t="s">
        <v>526</v>
      </c>
      <c r="C196" s="3" t="s">
        <v>326</v>
      </c>
      <c r="D196" s="2" t="s">
        <v>56</v>
      </c>
      <c r="E196" s="2" t="s">
        <v>17</v>
      </c>
      <c r="F196" s="2" t="s">
        <v>26</v>
      </c>
      <c r="G196" s="2" t="s">
        <v>19</v>
      </c>
      <c r="H196" s="2" t="s">
        <v>20</v>
      </c>
      <c r="I196" s="3" t="s">
        <v>150</v>
      </c>
      <c r="J196" s="4">
        <v>867.99</v>
      </c>
      <c r="K196" s="2">
        <v>9</v>
      </c>
      <c r="L196" s="5">
        <v>0.2</v>
      </c>
      <c r="M196" s="12">
        <v>128.08000000000001</v>
      </c>
    </row>
    <row r="197" spans="1:13" x14ac:dyDescent="0.3">
      <c r="A197" s="7" t="s">
        <v>527</v>
      </c>
      <c r="B197" s="8" t="s">
        <v>285</v>
      </c>
      <c r="C197" s="8" t="s">
        <v>462</v>
      </c>
      <c r="D197" s="7" t="s">
        <v>16</v>
      </c>
      <c r="E197" s="7" t="s">
        <v>57</v>
      </c>
      <c r="F197" s="7" t="s">
        <v>50</v>
      </c>
      <c r="G197" s="7" t="s">
        <v>35</v>
      </c>
      <c r="H197" s="7" t="s">
        <v>91</v>
      </c>
      <c r="I197" s="8" t="s">
        <v>147</v>
      </c>
      <c r="J197" s="9">
        <v>2198.7399999999998</v>
      </c>
      <c r="K197" s="7">
        <v>5</v>
      </c>
      <c r="L197" s="10">
        <v>0.3</v>
      </c>
      <c r="M197" s="13">
        <v>53.82</v>
      </c>
    </row>
    <row r="198" spans="1:13" x14ac:dyDescent="0.3">
      <c r="A198" s="2" t="s">
        <v>528</v>
      </c>
      <c r="B198" s="3" t="s">
        <v>313</v>
      </c>
      <c r="C198" s="3" t="s">
        <v>494</v>
      </c>
      <c r="D198" s="2" t="s">
        <v>65</v>
      </c>
      <c r="E198" s="2" t="s">
        <v>33</v>
      </c>
      <c r="F198" s="2" t="s">
        <v>34</v>
      </c>
      <c r="G198" s="2" t="s">
        <v>19</v>
      </c>
      <c r="H198" s="2" t="s">
        <v>102</v>
      </c>
      <c r="I198" s="3" t="s">
        <v>320</v>
      </c>
      <c r="J198" s="4">
        <v>2484.4299999999998</v>
      </c>
      <c r="K198" s="2">
        <v>9</v>
      </c>
      <c r="L198" s="5">
        <v>0</v>
      </c>
      <c r="M198" s="6">
        <v>-38.020000000000003</v>
      </c>
    </row>
    <row r="199" spans="1:13" x14ac:dyDescent="0.3">
      <c r="A199" s="7" t="s">
        <v>529</v>
      </c>
      <c r="B199" s="8" t="s">
        <v>530</v>
      </c>
      <c r="C199" s="8" t="s">
        <v>531</v>
      </c>
      <c r="D199" s="7" t="s">
        <v>49</v>
      </c>
      <c r="E199" s="7" t="s">
        <v>57</v>
      </c>
      <c r="F199" s="7" t="s">
        <v>18</v>
      </c>
      <c r="G199" s="7" t="s">
        <v>19</v>
      </c>
      <c r="H199" s="7" t="s">
        <v>27</v>
      </c>
      <c r="I199" s="8" t="s">
        <v>77</v>
      </c>
      <c r="J199" s="9">
        <v>797.14</v>
      </c>
      <c r="K199" s="7">
        <v>4</v>
      </c>
      <c r="L199" s="10">
        <v>0.1</v>
      </c>
      <c r="M199" s="13">
        <v>200.48</v>
      </c>
    </row>
    <row r="200" spans="1:13" x14ac:dyDescent="0.3">
      <c r="A200" s="2" t="s">
        <v>532</v>
      </c>
      <c r="B200" s="3" t="s">
        <v>59</v>
      </c>
      <c r="C200" s="3" t="s">
        <v>311</v>
      </c>
      <c r="D200" s="2" t="s">
        <v>71</v>
      </c>
      <c r="E200" s="2" t="s">
        <v>17</v>
      </c>
      <c r="F200" s="2" t="s">
        <v>50</v>
      </c>
      <c r="G200" s="2" t="s">
        <v>60</v>
      </c>
      <c r="H200" s="2" t="s">
        <v>61</v>
      </c>
      <c r="I200" s="3" t="s">
        <v>171</v>
      </c>
      <c r="J200" s="4">
        <v>205.13</v>
      </c>
      <c r="K200" s="2">
        <v>2</v>
      </c>
      <c r="L200" s="5">
        <v>0.1</v>
      </c>
      <c r="M200" s="12">
        <v>14.92</v>
      </c>
    </row>
    <row r="201" spans="1:13" x14ac:dyDescent="0.3">
      <c r="A201" s="7" t="s">
        <v>533</v>
      </c>
      <c r="B201" s="8" t="s">
        <v>381</v>
      </c>
      <c r="C201" s="8" t="s">
        <v>534</v>
      </c>
      <c r="D201" s="7" t="s">
        <v>107</v>
      </c>
      <c r="E201" s="7" t="s">
        <v>17</v>
      </c>
      <c r="F201" s="7" t="s">
        <v>50</v>
      </c>
      <c r="G201" s="7" t="s">
        <v>35</v>
      </c>
      <c r="H201" s="7" t="s">
        <v>81</v>
      </c>
      <c r="I201" s="8" t="s">
        <v>400</v>
      </c>
      <c r="J201" s="9">
        <v>1851.58</v>
      </c>
      <c r="K201" s="7">
        <v>4</v>
      </c>
      <c r="L201" s="10">
        <v>0</v>
      </c>
      <c r="M201" s="13">
        <v>261.58</v>
      </c>
    </row>
  </sheetData>
  <autoFilter ref="A1:M20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8" customWidth="1"/>
    <col min="2" max="2" width="28" customWidth="1"/>
    <col min="3" max="3" width="20" customWidth="1"/>
    <col min="4" max="5" width="30" customWidth="1"/>
    <col min="6" max="6" width="12" customWidth="1"/>
  </cols>
  <sheetData>
    <row r="1" spans="1:6" ht="36" customHeight="1" x14ac:dyDescent="0.3">
      <c r="A1" s="54" t="s">
        <v>535</v>
      </c>
      <c r="B1" s="54"/>
      <c r="C1" s="54"/>
      <c r="D1" s="54"/>
      <c r="E1" s="54"/>
      <c r="F1" s="54"/>
    </row>
    <row r="2" spans="1:6" ht="19.5" customHeight="1" x14ac:dyDescent="0.3">
      <c r="A2" s="55" t="s">
        <v>536</v>
      </c>
      <c r="B2" s="55"/>
      <c r="C2" s="55"/>
      <c r="D2" s="55"/>
      <c r="E2" s="55"/>
      <c r="F2" s="55"/>
    </row>
    <row r="4" spans="1:6" ht="21.75" customHeight="1" x14ac:dyDescent="0.3">
      <c r="A4" s="14" t="s">
        <v>537</v>
      </c>
      <c r="B4" s="14" t="s">
        <v>538</v>
      </c>
      <c r="C4" s="14" t="s">
        <v>539</v>
      </c>
      <c r="D4" s="14" t="s">
        <v>540</v>
      </c>
      <c r="E4" s="14" t="s">
        <v>541</v>
      </c>
      <c r="F4" s="14" t="s">
        <v>542</v>
      </c>
    </row>
    <row r="5" spans="1:6" ht="21.75" customHeight="1" x14ac:dyDescent="0.3">
      <c r="A5" s="15">
        <v>1</v>
      </c>
      <c r="B5" s="16" t="s">
        <v>543</v>
      </c>
      <c r="C5" s="16" t="s">
        <v>0</v>
      </c>
      <c r="D5" s="16" t="s">
        <v>544</v>
      </c>
      <c r="E5" s="16" t="s">
        <v>545</v>
      </c>
      <c r="F5" s="17" t="s">
        <v>546</v>
      </c>
    </row>
    <row r="6" spans="1:6" ht="21.75" customHeight="1" x14ac:dyDescent="0.3">
      <c r="A6" s="18">
        <v>2</v>
      </c>
      <c r="B6" s="19" t="s">
        <v>547</v>
      </c>
      <c r="C6" s="19" t="s">
        <v>548</v>
      </c>
      <c r="D6" s="19" t="s">
        <v>549</v>
      </c>
      <c r="E6" s="19" t="s">
        <v>550</v>
      </c>
      <c r="F6" s="20" t="s">
        <v>546</v>
      </c>
    </row>
    <row r="7" spans="1:6" ht="21.75" customHeight="1" x14ac:dyDescent="0.3">
      <c r="A7" s="15">
        <v>3</v>
      </c>
      <c r="B7" s="16" t="s">
        <v>551</v>
      </c>
      <c r="C7" s="16" t="s">
        <v>1</v>
      </c>
      <c r="D7" s="16" t="s">
        <v>552</v>
      </c>
      <c r="E7" s="16" t="s">
        <v>553</v>
      </c>
      <c r="F7" s="17" t="s">
        <v>546</v>
      </c>
    </row>
    <row r="8" spans="1:6" ht="21.75" customHeight="1" x14ac:dyDescent="0.3">
      <c r="A8" s="18">
        <v>4</v>
      </c>
      <c r="B8" s="19" t="s">
        <v>554</v>
      </c>
      <c r="C8" s="19" t="s">
        <v>2</v>
      </c>
      <c r="D8" s="19" t="s">
        <v>552</v>
      </c>
      <c r="E8" s="19" t="s">
        <v>553</v>
      </c>
      <c r="F8" s="20" t="s">
        <v>546</v>
      </c>
    </row>
    <row r="9" spans="1:6" ht="21.75" customHeight="1" x14ac:dyDescent="0.3">
      <c r="A9" s="15">
        <v>5</v>
      </c>
      <c r="B9" s="16" t="s">
        <v>555</v>
      </c>
      <c r="C9" s="16" t="s">
        <v>11</v>
      </c>
      <c r="D9" s="16" t="s">
        <v>556</v>
      </c>
      <c r="E9" s="16" t="s">
        <v>557</v>
      </c>
      <c r="F9" s="17" t="s">
        <v>546</v>
      </c>
    </row>
    <row r="10" spans="1:6" ht="21.75" customHeight="1" x14ac:dyDescent="0.3">
      <c r="A10" s="18">
        <v>6</v>
      </c>
      <c r="B10" s="19" t="s">
        <v>558</v>
      </c>
      <c r="C10" s="19" t="s">
        <v>12</v>
      </c>
      <c r="D10" s="19" t="s">
        <v>559</v>
      </c>
      <c r="E10" s="19" t="s">
        <v>560</v>
      </c>
      <c r="F10" s="20" t="s">
        <v>546</v>
      </c>
    </row>
    <row r="11" spans="1:6" ht="21.75" customHeight="1" x14ac:dyDescent="0.3">
      <c r="A11" s="15">
        <v>7</v>
      </c>
      <c r="B11" s="16" t="s">
        <v>561</v>
      </c>
      <c r="C11" s="16" t="s">
        <v>562</v>
      </c>
      <c r="D11" s="16" t="s">
        <v>563</v>
      </c>
      <c r="E11" s="16" t="s">
        <v>564</v>
      </c>
      <c r="F11" s="17" t="s">
        <v>546</v>
      </c>
    </row>
    <row r="12" spans="1:6" ht="21.75" customHeight="1" x14ac:dyDescent="0.3">
      <c r="A12" s="18">
        <v>8</v>
      </c>
      <c r="B12" s="19" t="s">
        <v>565</v>
      </c>
      <c r="C12" s="19" t="s">
        <v>3</v>
      </c>
      <c r="D12" s="19" t="s">
        <v>566</v>
      </c>
      <c r="E12" s="19" t="s">
        <v>567</v>
      </c>
      <c r="F12" s="20" t="s">
        <v>546</v>
      </c>
    </row>
    <row r="13" spans="1:6" ht="21.75" customHeight="1" x14ac:dyDescent="0.3">
      <c r="A13" s="15">
        <v>9</v>
      </c>
      <c r="B13" s="16" t="s">
        <v>568</v>
      </c>
      <c r="C13" s="16" t="s">
        <v>10</v>
      </c>
      <c r="D13" s="16" t="s">
        <v>569</v>
      </c>
      <c r="E13" s="16" t="s">
        <v>570</v>
      </c>
      <c r="F13" s="17" t="s">
        <v>546</v>
      </c>
    </row>
    <row r="14" spans="1:6" ht="21.75" customHeight="1" x14ac:dyDescent="0.3">
      <c r="A14" s="18">
        <v>10</v>
      </c>
      <c r="B14" s="19" t="s">
        <v>571</v>
      </c>
      <c r="C14" s="19" t="s">
        <v>572</v>
      </c>
      <c r="D14" s="19" t="s">
        <v>573</v>
      </c>
      <c r="E14" s="19" t="s">
        <v>574</v>
      </c>
      <c r="F14" s="20" t="s">
        <v>546</v>
      </c>
    </row>
    <row r="17" spans="1:6" ht="25.5" customHeight="1" x14ac:dyDescent="0.3">
      <c r="A17" s="56" t="s">
        <v>575</v>
      </c>
      <c r="B17" s="56"/>
      <c r="C17" s="56"/>
      <c r="D17" s="56"/>
      <c r="E17" s="56"/>
      <c r="F17" s="56"/>
    </row>
    <row r="18" spans="1:6" ht="19.5" customHeight="1" x14ac:dyDescent="0.3">
      <c r="A18" s="21" t="s">
        <v>576</v>
      </c>
      <c r="B18" s="21" t="s">
        <v>577</v>
      </c>
    </row>
    <row r="19" spans="1:6" ht="18" customHeight="1" x14ac:dyDescent="0.3">
      <c r="A19" s="22" t="s">
        <v>578</v>
      </c>
      <c r="B19" s="23">
        <f>COUNTA('1_Dataset'!A2:A201)</f>
        <v>200</v>
      </c>
    </row>
    <row r="20" spans="1:6" ht="18" customHeight="1" x14ac:dyDescent="0.3">
      <c r="A20" s="24" t="s">
        <v>579</v>
      </c>
      <c r="B20" s="25">
        <f>SUM('1_Dataset'!J2:J201)</f>
        <v>301247.37999999995</v>
      </c>
    </row>
    <row r="21" spans="1:6" ht="18" customHeight="1" x14ac:dyDescent="0.3">
      <c r="A21" s="22" t="s">
        <v>580</v>
      </c>
      <c r="B21" s="26">
        <f>SUM('1_Dataset'!M2:M201)</f>
        <v>45095.840000000018</v>
      </c>
    </row>
    <row r="22" spans="1:6" ht="18" customHeight="1" x14ac:dyDescent="0.3">
      <c r="A22" s="24" t="s">
        <v>581</v>
      </c>
      <c r="B22" s="27">
        <f>AVERAGE('1_Dataset'!L2:L201)</f>
        <v>9.6499999999999989E-2</v>
      </c>
    </row>
    <row r="23" spans="1:6" ht="18" customHeight="1" x14ac:dyDescent="0.3">
      <c r="A23" s="22" t="s">
        <v>582</v>
      </c>
      <c r="B23" s="23">
        <f>SUMPRODUCT(1/COUNTIF('1_Dataset'!D2:D201,'1_Dataset'!D2:D201))</f>
        <v>11.999999999999988</v>
      </c>
    </row>
    <row r="24" spans="1:6" ht="18" customHeight="1" x14ac:dyDescent="0.3">
      <c r="A24" s="24" t="s">
        <v>583</v>
      </c>
      <c r="B24" s="2">
        <f>COUNTIF('1_Dataset'!M2:M201,"&gt;0")</f>
        <v>174</v>
      </c>
    </row>
    <row r="25" spans="1:6" ht="18" customHeight="1" x14ac:dyDescent="0.3">
      <c r="A25" s="22" t="s">
        <v>584</v>
      </c>
      <c r="B25" s="23">
        <f>COUNTIF('1_Dataset'!M2:M201,"&lt;0")</f>
        <v>26</v>
      </c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zoomScaleNormal="100" workbookViewId="0">
      <selection activeCell="I13" sqref="I13"/>
    </sheetView>
  </sheetViews>
  <sheetFormatPr defaultColWidth="8.6640625" defaultRowHeight="14.4" x14ac:dyDescent="0.3"/>
  <cols>
    <col min="1" max="1" width="12.5546875" customWidth="1"/>
    <col min="2" max="2" width="11.6640625" customWidth="1"/>
    <col min="3" max="3" width="12.109375" customWidth="1"/>
    <col min="4" max="4" width="14.88671875" customWidth="1"/>
    <col min="5" max="5" width="15.88671875" customWidth="1"/>
    <col min="7" max="7" width="12.5546875" customWidth="1"/>
    <col min="8" max="8" width="11.6640625" customWidth="1"/>
    <col min="9" max="9" width="12.109375" customWidth="1"/>
    <col min="10" max="10" width="18.109375" bestFit="1" customWidth="1"/>
    <col min="11" max="11" width="15.88671875" bestFit="1" customWidth="1"/>
  </cols>
  <sheetData>
    <row r="1" spans="1:15" ht="36" customHeight="1" x14ac:dyDescent="0.3">
      <c r="A1" s="54" t="s">
        <v>585</v>
      </c>
      <c r="B1" s="54"/>
      <c r="C1" s="54"/>
      <c r="D1" s="54"/>
      <c r="E1" s="54"/>
      <c r="F1" s="54"/>
      <c r="G1" s="54"/>
      <c r="H1" s="54"/>
      <c r="I1" s="54"/>
    </row>
    <row r="3" spans="1:15" ht="24" customHeight="1" x14ac:dyDescent="0.3">
      <c r="A3" s="57" t="s">
        <v>586</v>
      </c>
      <c r="B3" s="57"/>
      <c r="C3" s="57"/>
      <c r="D3" s="57"/>
      <c r="E3" s="57"/>
      <c r="G3" s="57" t="s">
        <v>587</v>
      </c>
      <c r="H3" s="57"/>
      <c r="I3" s="57"/>
      <c r="K3" s="46"/>
      <c r="L3" s="46"/>
      <c r="M3" s="46"/>
      <c r="N3" s="46"/>
      <c r="O3" s="46"/>
    </row>
    <row r="4" spans="1:15" ht="21.75" customHeight="1" x14ac:dyDescent="0.3">
      <c r="A4" s="43" t="s">
        <v>6</v>
      </c>
      <c r="B4" t="s">
        <v>702</v>
      </c>
      <c r="C4" t="s">
        <v>703</v>
      </c>
      <c r="D4" t="s">
        <v>706</v>
      </c>
      <c r="E4" t="s">
        <v>705</v>
      </c>
      <c r="G4" s="43" t="s">
        <v>700</v>
      </c>
      <c r="H4" t="s">
        <v>702</v>
      </c>
      <c r="I4" t="s">
        <v>703</v>
      </c>
      <c r="K4" s="47"/>
      <c r="L4" s="48"/>
      <c r="M4" s="48"/>
      <c r="N4" s="49"/>
      <c r="O4" s="50"/>
    </row>
    <row r="5" spans="1:15" ht="18" customHeight="1" x14ac:dyDescent="0.3">
      <c r="A5" s="44" t="s">
        <v>19</v>
      </c>
      <c r="B5" s="45">
        <v>98809.239999999976</v>
      </c>
      <c r="C5" s="45">
        <v>13726.07</v>
      </c>
      <c r="D5" s="45">
        <v>9.8437499999999983E-2</v>
      </c>
      <c r="E5" s="45">
        <v>64</v>
      </c>
      <c r="G5" s="44" t="s">
        <v>33</v>
      </c>
      <c r="H5" s="45">
        <v>95569.269999999931</v>
      </c>
      <c r="I5" s="45">
        <v>13594.12</v>
      </c>
      <c r="K5" s="47"/>
      <c r="L5" s="48"/>
      <c r="M5" s="48"/>
      <c r="N5" s="49"/>
      <c r="O5" s="50"/>
    </row>
    <row r="6" spans="1:15" ht="18" customHeight="1" x14ac:dyDescent="0.3">
      <c r="A6" s="44" t="s">
        <v>60</v>
      </c>
      <c r="B6" s="45">
        <v>95608.209999999992</v>
      </c>
      <c r="C6" s="45">
        <v>14144.270000000002</v>
      </c>
      <c r="D6" s="45">
        <v>0.1</v>
      </c>
      <c r="E6" s="45">
        <v>65</v>
      </c>
      <c r="G6" s="44" t="s">
        <v>57</v>
      </c>
      <c r="H6" s="45">
        <v>103344.90000000002</v>
      </c>
      <c r="I6" s="45">
        <v>17549.600000000002</v>
      </c>
      <c r="K6" s="47"/>
      <c r="L6" s="48"/>
      <c r="M6" s="48"/>
      <c r="N6" s="49"/>
      <c r="O6" s="50"/>
    </row>
    <row r="7" spans="1:15" ht="18" customHeight="1" x14ac:dyDescent="0.3">
      <c r="A7" s="44" t="s">
        <v>35</v>
      </c>
      <c r="B7" s="45">
        <v>106829.93000000002</v>
      </c>
      <c r="C7" s="45">
        <v>17225.500000000004</v>
      </c>
      <c r="D7" s="45">
        <v>9.1549295774647876E-2</v>
      </c>
      <c r="E7" s="45">
        <v>71</v>
      </c>
      <c r="G7" s="44" t="s">
        <v>17</v>
      </c>
      <c r="H7" s="45">
        <v>102333.21000000002</v>
      </c>
      <c r="I7" s="45">
        <v>13952.120000000003</v>
      </c>
      <c r="K7" s="46"/>
      <c r="L7" s="51"/>
      <c r="M7" s="51"/>
      <c r="N7" s="52"/>
      <c r="O7" s="53"/>
    </row>
    <row r="8" spans="1:15" ht="19.5" customHeight="1" x14ac:dyDescent="0.3">
      <c r="A8" s="44" t="s">
        <v>701</v>
      </c>
      <c r="B8" s="45">
        <v>301247.37999999983</v>
      </c>
      <c r="C8" s="45">
        <v>45095.839999999982</v>
      </c>
      <c r="D8" s="45">
        <v>9.6500000000000002E-2</v>
      </c>
      <c r="E8" s="45">
        <v>200</v>
      </c>
      <c r="G8" s="44" t="s">
        <v>701</v>
      </c>
      <c r="H8" s="45">
        <v>301247.38</v>
      </c>
      <c r="I8" s="45">
        <v>45095.840000000004</v>
      </c>
    </row>
    <row r="10" spans="1:15" ht="24" customHeight="1" x14ac:dyDescent="0.3"/>
    <row r="11" spans="1:15" ht="21.75" customHeight="1" x14ac:dyDescent="0.3">
      <c r="A11" s="57" t="s">
        <v>588</v>
      </c>
      <c r="B11" s="57"/>
      <c r="C11" s="57"/>
      <c r="D11" s="57"/>
      <c r="E11" s="57"/>
    </row>
    <row r="12" spans="1:15" ht="18" customHeight="1" x14ac:dyDescent="0.3">
      <c r="A12" s="43" t="s">
        <v>6</v>
      </c>
      <c r="B12" t="s">
        <v>702</v>
      </c>
      <c r="C12" t="s">
        <v>703</v>
      </c>
      <c r="D12" t="s">
        <v>704</v>
      </c>
      <c r="E12" t="s">
        <v>705</v>
      </c>
      <c r="H12" s="46"/>
      <c r="I12" s="46"/>
      <c r="J12" s="46"/>
      <c r="K12" s="46"/>
      <c r="L12" s="46"/>
    </row>
    <row r="13" spans="1:15" ht="18" customHeight="1" x14ac:dyDescent="0.3">
      <c r="A13" s="44" t="s">
        <v>50</v>
      </c>
      <c r="B13" s="45">
        <v>90039.330000000031</v>
      </c>
      <c r="C13" s="45">
        <v>14210.86</v>
      </c>
      <c r="D13" s="45">
        <v>4.2000000000000011</v>
      </c>
      <c r="E13" s="45">
        <v>56</v>
      </c>
      <c r="H13" s="47"/>
      <c r="I13" s="48"/>
      <c r="J13" s="48"/>
      <c r="K13" s="49"/>
      <c r="L13" s="50"/>
    </row>
    <row r="14" spans="1:15" ht="18" customHeight="1" x14ac:dyDescent="0.3">
      <c r="A14" s="44" t="s">
        <v>18</v>
      </c>
      <c r="B14" s="45">
        <v>79782.679999999993</v>
      </c>
      <c r="C14" s="45">
        <v>11968.7</v>
      </c>
      <c r="D14" s="45">
        <v>5.4999999999999991</v>
      </c>
      <c r="E14" s="45">
        <v>49</v>
      </c>
      <c r="H14" s="47"/>
      <c r="I14" s="48"/>
      <c r="J14" s="48"/>
      <c r="K14" s="49"/>
      <c r="L14" s="50"/>
    </row>
    <row r="15" spans="1:15" ht="18" customHeight="1" x14ac:dyDescent="0.3">
      <c r="A15" s="44" t="s">
        <v>26</v>
      </c>
      <c r="B15" s="45">
        <v>67162.950000000012</v>
      </c>
      <c r="C15" s="45">
        <v>9256.3700000000008</v>
      </c>
      <c r="D15" s="45">
        <v>5.6000000000000005</v>
      </c>
      <c r="E15" s="45">
        <v>51</v>
      </c>
      <c r="H15" s="47"/>
      <c r="I15" s="48"/>
      <c r="J15" s="48"/>
      <c r="K15" s="49"/>
      <c r="L15" s="50"/>
    </row>
    <row r="16" spans="1:15" x14ac:dyDescent="0.3">
      <c r="A16" s="44" t="s">
        <v>34</v>
      </c>
      <c r="B16" s="45">
        <v>64262.420000000013</v>
      </c>
      <c r="C16" s="45">
        <v>9659.909999999998</v>
      </c>
      <c r="D16" s="45">
        <v>4.0000000000000009</v>
      </c>
      <c r="E16" s="45">
        <v>44</v>
      </c>
      <c r="H16" s="47"/>
      <c r="I16" s="48"/>
      <c r="J16" s="48"/>
      <c r="K16" s="49"/>
      <c r="L16" s="50"/>
    </row>
    <row r="17" spans="1:5" x14ac:dyDescent="0.3">
      <c r="A17" s="44" t="s">
        <v>701</v>
      </c>
      <c r="B17" s="45">
        <v>301247.37999999989</v>
      </c>
      <c r="C17" s="45">
        <v>45095.839999999989</v>
      </c>
      <c r="D17" s="45">
        <v>19.300000000000004</v>
      </c>
      <c r="E17" s="45">
        <v>200</v>
      </c>
    </row>
  </sheetData>
  <mergeCells count="4">
    <mergeCell ref="A1:I1"/>
    <mergeCell ref="A3:E3"/>
    <mergeCell ref="G3:I3"/>
    <mergeCell ref="A11:E11"/>
  </mergeCells>
  <pageMargins left="0.75" right="0.75" top="1" bottom="1" header="0.511811023622047" footer="0.511811023622047"/>
  <pageSetup paperSize="9" orientation="portrait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zoomScaleNormal="100" workbookViewId="0">
      <selection activeCell="E18" sqref="E18"/>
    </sheetView>
  </sheetViews>
  <sheetFormatPr defaultColWidth="8.6640625" defaultRowHeight="14.4" x14ac:dyDescent="0.3"/>
  <cols>
    <col min="1" max="1" width="22" customWidth="1"/>
    <col min="2" max="2" width="16" customWidth="1"/>
    <col min="3" max="3" width="30" customWidth="1"/>
    <col min="4" max="4" width="22" customWidth="1"/>
    <col min="5" max="5" width="20" customWidth="1"/>
  </cols>
  <sheetData>
    <row r="1" spans="1:5" ht="36" customHeight="1" x14ac:dyDescent="0.3">
      <c r="A1" s="54" t="s">
        <v>589</v>
      </c>
      <c r="B1" s="54"/>
      <c r="C1" s="54"/>
      <c r="D1" s="54"/>
      <c r="E1" s="54"/>
    </row>
    <row r="3" spans="1:5" ht="24" customHeight="1" x14ac:dyDescent="0.3">
      <c r="A3" s="29" t="s">
        <v>590</v>
      </c>
      <c r="B3" s="30"/>
      <c r="C3" s="30"/>
      <c r="D3" s="30"/>
      <c r="E3" s="30"/>
    </row>
    <row r="4" spans="1:5" ht="18" customHeight="1" x14ac:dyDescent="0.3">
      <c r="A4" s="24" t="s">
        <v>591</v>
      </c>
      <c r="B4" s="31" t="s">
        <v>184</v>
      </c>
    </row>
    <row r="5" spans="1:5" ht="18" customHeight="1" x14ac:dyDescent="0.3">
      <c r="A5" s="24" t="s">
        <v>3</v>
      </c>
      <c r="B5" s="32" t="str">
        <f>VLOOKUP(B4,'1_Dataset'!A$1:D$201,4,FALSE())</f>
        <v>Grace Kim</v>
      </c>
    </row>
    <row r="6" spans="1:5" ht="18" customHeight="1" x14ac:dyDescent="0.3">
      <c r="A6" s="24" t="s">
        <v>4</v>
      </c>
      <c r="B6" s="32" t="str">
        <f>VLOOKUP(B4,'1_Dataset'!A$1:E$201,5,FALSE())</f>
        <v>Home Office</v>
      </c>
    </row>
    <row r="7" spans="1:5" ht="18" customHeight="1" x14ac:dyDescent="0.3">
      <c r="A7" s="24" t="s">
        <v>592</v>
      </c>
      <c r="B7" s="32">
        <f>VLOOKUP(B4,'1_Dataset'!A$1:J$201,10,FALSE())</f>
        <v>1230.0999999999999</v>
      </c>
    </row>
    <row r="10" spans="1:5" ht="24" customHeight="1" x14ac:dyDescent="0.3">
      <c r="A10" s="29" t="s">
        <v>593</v>
      </c>
      <c r="B10" s="30"/>
      <c r="C10" s="30"/>
      <c r="D10" s="30"/>
      <c r="E10" s="30"/>
    </row>
    <row r="11" spans="1:5" ht="18" customHeight="1" x14ac:dyDescent="0.3">
      <c r="A11" s="24" t="s">
        <v>594</v>
      </c>
      <c r="B11" s="31" t="s">
        <v>41</v>
      </c>
    </row>
    <row r="12" spans="1:5" ht="18" customHeight="1" x14ac:dyDescent="0.3">
      <c r="A12" s="24" t="s">
        <v>595</v>
      </c>
      <c r="B12" s="32" t="str">
        <f>INDEX('1_Dataset'!A$2:A$201,MATCH(B11,'1_Dataset'!D$2:D$201,0))</f>
        <v>ORD-0004</v>
      </c>
    </row>
    <row r="13" spans="1:5" ht="18" customHeight="1" x14ac:dyDescent="0.3">
      <c r="A13" s="24" t="s">
        <v>6</v>
      </c>
      <c r="B13" s="32" t="str">
        <f>INDEX('1_Dataset'!G$2:G$201,MATCH(B11,'1_Dataset'!D$2:D$201,0))</f>
        <v>Technology</v>
      </c>
    </row>
    <row r="14" spans="1:5" ht="18" customHeight="1" x14ac:dyDescent="0.3">
      <c r="A14" s="24" t="s">
        <v>596</v>
      </c>
      <c r="B14" s="33">
        <f>SUMPRODUCT(MAX(('1_Dataset'!D$2:D$201=B11)*'1_Dataset'!J$2:J$201))</f>
        <v>2652.36</v>
      </c>
    </row>
    <row r="17" spans="1:5" ht="24" customHeight="1" x14ac:dyDescent="0.3">
      <c r="A17" s="29" t="s">
        <v>597</v>
      </c>
      <c r="B17" s="30"/>
      <c r="C17" s="30"/>
      <c r="D17" s="30"/>
      <c r="E17" s="30"/>
    </row>
    <row r="18" spans="1:5" ht="19.5" customHeight="1" x14ac:dyDescent="0.3">
      <c r="A18" s="28" t="s">
        <v>0</v>
      </c>
      <c r="B18" s="28" t="s">
        <v>9</v>
      </c>
      <c r="C18" s="28" t="s">
        <v>12</v>
      </c>
      <c r="D18" s="28" t="s">
        <v>598</v>
      </c>
      <c r="E18" s="28" t="s">
        <v>599</v>
      </c>
    </row>
    <row r="19" spans="1:5" ht="18" customHeight="1" x14ac:dyDescent="0.3">
      <c r="A19" s="23" t="str">
        <f>'1_Dataset'!A2</f>
        <v>ORD-0001</v>
      </c>
      <c r="B19" s="26">
        <f>'1_Dataset'!J2</f>
        <v>749.78</v>
      </c>
      <c r="C19" s="26">
        <f>'1_Dataset'!M2</f>
        <v>-6.75</v>
      </c>
      <c r="D19" s="23" t="str">
        <f t="shared" ref="D19:D26" si="0">IF(C19&gt;500,"High",IF(C19&gt;0,"Medium","Loss"))</f>
        <v>Loss</v>
      </c>
      <c r="E19" s="23" t="str">
        <f t="shared" ref="E19:E26" si="1">IF(B19&gt;1000,"Top Seller",IF(B19&gt;500,"Good","Below Avg"))</f>
        <v>Good</v>
      </c>
    </row>
    <row r="20" spans="1:5" ht="18" customHeight="1" x14ac:dyDescent="0.3">
      <c r="A20" s="2" t="str">
        <f>'1_Dataset'!A3</f>
        <v>ORD-0002</v>
      </c>
      <c r="B20" s="25">
        <f>'1_Dataset'!J3</f>
        <v>671.54</v>
      </c>
      <c r="C20" s="25">
        <f>'1_Dataset'!M3</f>
        <v>-26.45</v>
      </c>
      <c r="D20" s="2" t="str">
        <f t="shared" si="0"/>
        <v>Loss</v>
      </c>
      <c r="E20" s="2" t="str">
        <f t="shared" si="1"/>
        <v>Good</v>
      </c>
    </row>
    <row r="21" spans="1:5" ht="18" customHeight="1" x14ac:dyDescent="0.3">
      <c r="A21" s="23" t="str">
        <f>'1_Dataset'!A4</f>
        <v>ORD-0003</v>
      </c>
      <c r="B21" s="26">
        <f>'1_Dataset'!J4</f>
        <v>2281.25</v>
      </c>
      <c r="C21" s="26">
        <f>'1_Dataset'!M4</f>
        <v>271.57</v>
      </c>
      <c r="D21" s="23" t="str">
        <f t="shared" si="0"/>
        <v>Medium</v>
      </c>
      <c r="E21" s="23" t="str">
        <f t="shared" si="1"/>
        <v>Top Seller</v>
      </c>
    </row>
    <row r="22" spans="1:5" ht="18" customHeight="1" x14ac:dyDescent="0.3">
      <c r="A22" s="2" t="str">
        <f>'1_Dataset'!A5</f>
        <v>ORD-0004</v>
      </c>
      <c r="B22" s="25">
        <f>'1_Dataset'!J5</f>
        <v>1089.76</v>
      </c>
      <c r="C22" s="25">
        <f>'1_Dataset'!M5</f>
        <v>60.82</v>
      </c>
      <c r="D22" s="2" t="str">
        <f t="shared" si="0"/>
        <v>Medium</v>
      </c>
      <c r="E22" s="2" t="str">
        <f t="shared" si="1"/>
        <v>Top Seller</v>
      </c>
    </row>
    <row r="23" spans="1:5" ht="18" customHeight="1" x14ac:dyDescent="0.3">
      <c r="A23" s="23" t="str">
        <f>'1_Dataset'!A6</f>
        <v>ORD-0005</v>
      </c>
      <c r="B23" s="26">
        <f>'1_Dataset'!J6</f>
        <v>2491.63</v>
      </c>
      <c r="C23" s="26">
        <f>'1_Dataset'!M6</f>
        <v>450.84</v>
      </c>
      <c r="D23" s="23" t="str">
        <f t="shared" si="0"/>
        <v>Medium</v>
      </c>
      <c r="E23" s="23" t="str">
        <f t="shared" si="1"/>
        <v>Top Seller</v>
      </c>
    </row>
    <row r="24" spans="1:5" ht="18" customHeight="1" x14ac:dyDescent="0.3">
      <c r="A24" s="2" t="str">
        <f>'1_Dataset'!A7</f>
        <v>ORD-0006</v>
      </c>
      <c r="B24" s="25">
        <f>'1_Dataset'!J7</f>
        <v>2602.12</v>
      </c>
      <c r="C24" s="25">
        <f>'1_Dataset'!M7</f>
        <v>341.83</v>
      </c>
      <c r="D24" s="2" t="str">
        <f t="shared" si="0"/>
        <v>Medium</v>
      </c>
      <c r="E24" s="2" t="str">
        <f t="shared" si="1"/>
        <v>Top Seller</v>
      </c>
    </row>
    <row r="25" spans="1:5" ht="18" customHeight="1" x14ac:dyDescent="0.3">
      <c r="A25" s="23" t="str">
        <f>'1_Dataset'!A8</f>
        <v>ORD-0007</v>
      </c>
      <c r="B25" s="26">
        <f>'1_Dataset'!J8</f>
        <v>1835.21</v>
      </c>
      <c r="C25" s="26">
        <f>'1_Dataset'!M8</f>
        <v>443.48</v>
      </c>
      <c r="D25" s="23" t="str">
        <f t="shared" si="0"/>
        <v>Medium</v>
      </c>
      <c r="E25" s="23" t="str">
        <f t="shared" si="1"/>
        <v>Top Seller</v>
      </c>
    </row>
    <row r="26" spans="1:5" ht="18" customHeight="1" x14ac:dyDescent="0.3">
      <c r="A26" s="34" t="str">
        <f>'1_Dataset'!A9</f>
        <v>ORD-0008</v>
      </c>
      <c r="B26" s="25">
        <f>'1_Dataset'!J9</f>
        <v>2060.15</v>
      </c>
      <c r="C26" s="25">
        <f>'1_Dataset'!M9</f>
        <v>574.21</v>
      </c>
      <c r="D26" s="2" t="str">
        <f t="shared" si="0"/>
        <v>High</v>
      </c>
      <c r="E26" s="2" t="str">
        <f t="shared" si="1"/>
        <v>Top Seller</v>
      </c>
    </row>
    <row r="27" spans="1:5" ht="19.5" customHeight="1" x14ac:dyDescent="0.3">
      <c r="A27" s="28" t="s">
        <v>6</v>
      </c>
      <c r="B27" s="28" t="s">
        <v>600</v>
      </c>
      <c r="C27" s="28" t="s">
        <v>579</v>
      </c>
      <c r="D27" s="28" t="s">
        <v>580</v>
      </c>
      <c r="E27" s="28" t="s">
        <v>601</v>
      </c>
    </row>
    <row r="28" spans="1:5" ht="18" customHeight="1" x14ac:dyDescent="0.3">
      <c r="A28" s="24" t="s">
        <v>19</v>
      </c>
      <c r="B28" s="2">
        <f>COUNTIF('1_Dataset'!G$2:G$201,A28)</f>
        <v>64</v>
      </c>
      <c r="C28" s="25">
        <f>SUMIF('1_Dataset'!G$2:G$201,A28,'1_Dataset'!J$2:J$201)</f>
        <v>98809.239999999976</v>
      </c>
      <c r="D28" s="25">
        <f>SUMIF('1_Dataset'!G$2:G$201,A28,'1_Dataset'!M$2:M$201)</f>
        <v>13726.07</v>
      </c>
      <c r="E28" s="25">
        <f>AVERAGEIF('1_Dataset'!G$2:G$201,A28,'1_Dataset'!J$2:J$201)</f>
        <v>1543.8943749999996</v>
      </c>
    </row>
    <row r="29" spans="1:5" ht="18" customHeight="1" x14ac:dyDescent="0.3">
      <c r="A29" s="22" t="s">
        <v>60</v>
      </c>
      <c r="B29" s="23">
        <f>COUNTIF('1_Dataset'!G$2:G$201,A29)</f>
        <v>65</v>
      </c>
      <c r="C29" s="26">
        <f>SUMIF('1_Dataset'!G$2:G$201,A29,'1_Dataset'!J$2:J$201)</f>
        <v>95608.209999999992</v>
      </c>
      <c r="D29" s="26">
        <f>SUMIF('1_Dataset'!G$2:G$201,A29,'1_Dataset'!M$2:M$201)</f>
        <v>14144.270000000002</v>
      </c>
      <c r="E29" s="26">
        <f>AVERAGEIF('1_Dataset'!G$2:G$201,A29,'1_Dataset'!J$2:J$201)</f>
        <v>1470.8955384615383</v>
      </c>
    </row>
    <row r="30" spans="1:5" ht="18" customHeight="1" x14ac:dyDescent="0.3">
      <c r="A30" s="24" t="s">
        <v>35</v>
      </c>
      <c r="B30" s="2">
        <f>COUNTIF('1_Dataset'!G$2:G$201,A30)</f>
        <v>71</v>
      </c>
      <c r="C30" s="25">
        <f>SUMIF('1_Dataset'!G$2:G$201,A30,'1_Dataset'!J$2:J$201)</f>
        <v>106829.93000000002</v>
      </c>
      <c r="D30" s="25">
        <f>SUMIF('1_Dataset'!G$2:G$201,A30,'1_Dataset'!M$2:M$201)</f>
        <v>17225.500000000004</v>
      </c>
      <c r="E30" s="25">
        <f>AVERAGEIF('1_Dataset'!G$2:G$201,A30,'1_Dataset'!J$2:J$201)</f>
        <v>1504.646901408451</v>
      </c>
    </row>
    <row r="34" spans="1:5" ht="24" customHeight="1" x14ac:dyDescent="0.3">
      <c r="A34" s="29" t="s">
        <v>602</v>
      </c>
      <c r="B34" s="30"/>
      <c r="C34" s="30"/>
      <c r="D34" s="30"/>
      <c r="E34" s="30"/>
    </row>
    <row r="35" spans="1:5" ht="21.75" customHeight="1" x14ac:dyDescent="0.3">
      <c r="A35" s="35" t="s">
        <v>603</v>
      </c>
      <c r="B35" s="35" t="s">
        <v>604</v>
      </c>
      <c r="C35" s="35" t="s">
        <v>605</v>
      </c>
      <c r="D35" s="35" t="s">
        <v>606</v>
      </c>
      <c r="E35" s="35" t="s">
        <v>607</v>
      </c>
    </row>
    <row r="36" spans="1:5" ht="18" customHeight="1" x14ac:dyDescent="0.3">
      <c r="A36" s="2" t="s">
        <v>439</v>
      </c>
      <c r="B36" s="2" t="str">
        <f>TEXT(A36,"DD/MM/YYYY")</f>
        <v>15/03/2023</v>
      </c>
      <c r="C36" s="2" t="str">
        <f>TEXT(A36,"MMMM DD, YYYY")</f>
        <v>March 15, 2023</v>
      </c>
      <c r="D36" s="2" t="str">
        <f>TEXT(A36,"MMMM")</f>
        <v>March</v>
      </c>
      <c r="E36" s="2" t="str">
        <f>TEXT(A36,"YYYY")</f>
        <v>2023</v>
      </c>
    </row>
    <row r="37" spans="1:5" ht="18" customHeight="1" x14ac:dyDescent="0.3">
      <c r="A37" s="23" t="s">
        <v>442</v>
      </c>
      <c r="B37" s="23" t="str">
        <f>TEXT(A37,"DD/MM/YYYY")</f>
        <v>04/07/2023</v>
      </c>
      <c r="C37" s="23" t="str">
        <f>TEXT(A37,"MMMM DD, YYYY")</f>
        <v>July 04, 2023</v>
      </c>
      <c r="D37" s="23" t="str">
        <f>TEXT(A37,"MMMM")</f>
        <v>July</v>
      </c>
      <c r="E37" s="23" t="str">
        <f>TEXT(A37,"YYYY")</f>
        <v>2023</v>
      </c>
    </row>
    <row r="38" spans="1:5" ht="18" customHeight="1" x14ac:dyDescent="0.3">
      <c r="A38" s="2" t="s">
        <v>354</v>
      </c>
      <c r="B38" s="2" t="str">
        <f>TEXT(A38,"DD/MM/YYYY")</f>
        <v>28/11/2023</v>
      </c>
      <c r="C38" s="2" t="str">
        <f>TEXT(A38,"MMMM DD, YYYY")</f>
        <v>November 28, 2023</v>
      </c>
      <c r="D38" s="2" t="str">
        <f>TEXT(A38,"MMMM")</f>
        <v>November</v>
      </c>
      <c r="E38" s="2" t="str">
        <f>TEXT(A38,"YYYY")</f>
        <v>2023</v>
      </c>
    </row>
    <row r="39" spans="1:5" ht="18" customHeight="1" x14ac:dyDescent="0.3">
      <c r="A39" s="23" t="s">
        <v>608</v>
      </c>
      <c r="B39" s="23" t="str">
        <f>TEXT(A39,"DD/MM/YYYY")</f>
        <v>01/01/2023</v>
      </c>
      <c r="C39" s="23" t="str">
        <f>TEXT(A39,"MMMM DD, YYYY")</f>
        <v>January 01, 2023</v>
      </c>
      <c r="D39" s="23" t="str">
        <f>TEXT(A39,"MMMM")</f>
        <v>January</v>
      </c>
      <c r="E39" s="23" t="str">
        <f>TEXT(A39,"YYYY")</f>
        <v>2023</v>
      </c>
    </row>
    <row r="40" spans="1:5" ht="18" customHeight="1" x14ac:dyDescent="0.3">
      <c r="A40" s="2" t="s">
        <v>248</v>
      </c>
      <c r="B40" s="2" t="str">
        <f>TEXT(A40,"DD/MM/YYYY")</f>
        <v>31/12/2023</v>
      </c>
      <c r="C40" s="2" t="str">
        <f>TEXT(A40,"MMMM DD, YYYY")</f>
        <v>December 31, 2023</v>
      </c>
      <c r="D40" s="2" t="str">
        <f>TEXT(A40,"MMMM")</f>
        <v>December</v>
      </c>
      <c r="E40" s="2" t="str">
        <f>TEXT(A40,"YYYY")</f>
        <v>2023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showGridLines="0" zoomScaleNormal="100" workbookViewId="0">
      <selection activeCell="I7" sqref="I7"/>
    </sheetView>
  </sheetViews>
  <sheetFormatPr defaultColWidth="8.6640625" defaultRowHeight="14.4" x14ac:dyDescent="0.3"/>
  <cols>
    <col min="1" max="1" width="18" customWidth="1"/>
    <col min="2" max="3" width="14" customWidth="1"/>
    <col min="5" max="5" width="10" customWidth="1"/>
    <col min="6" max="6" width="14" customWidth="1"/>
  </cols>
  <sheetData>
    <row r="1" spans="1:14" ht="36" customHeight="1" x14ac:dyDescent="0.3">
      <c r="A1" s="54" t="s">
        <v>609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3" spans="1:14" ht="19.5" customHeight="1" x14ac:dyDescent="0.3">
      <c r="A3" s="21" t="s">
        <v>6</v>
      </c>
      <c r="B3" s="21" t="s">
        <v>9</v>
      </c>
      <c r="C3" s="21" t="s">
        <v>12</v>
      </c>
      <c r="E3" s="21" t="s">
        <v>5</v>
      </c>
      <c r="F3" s="21" t="s">
        <v>9</v>
      </c>
    </row>
    <row r="4" spans="1:14" ht="18" customHeight="1" x14ac:dyDescent="0.3">
      <c r="A4" s="3" t="s">
        <v>19</v>
      </c>
      <c r="B4" s="25">
        <f>SUMIF('1_Dataset'!G$2:G$201,A4,'1_Dataset'!J$2:J$201)</f>
        <v>98809.239999999976</v>
      </c>
      <c r="C4" s="25">
        <f>SUMIF('1_Dataset'!G$2:G$201,A4,'1_Dataset'!M$2:M$201)</f>
        <v>13726.07</v>
      </c>
      <c r="E4" s="3" t="s">
        <v>18</v>
      </c>
      <c r="F4" s="25">
        <f>SUMIF('1_Dataset'!F$2:F$201,E4,'1_Dataset'!J$2:J$201)</f>
        <v>79782.679999999993</v>
      </c>
    </row>
    <row r="5" spans="1:14" ht="18" customHeight="1" x14ac:dyDescent="0.3">
      <c r="A5" s="36" t="s">
        <v>60</v>
      </c>
      <c r="B5" s="26">
        <f>SUMIF('1_Dataset'!G$2:G$201,A5,'1_Dataset'!J$2:J$201)</f>
        <v>95608.209999999992</v>
      </c>
      <c r="C5" s="26">
        <f>SUMIF('1_Dataset'!G$2:G$201,A5,'1_Dataset'!M$2:M$201)</f>
        <v>14144.270000000002</v>
      </c>
      <c r="E5" s="36" t="s">
        <v>34</v>
      </c>
      <c r="F5" s="26">
        <f>SUMIF('1_Dataset'!F$2:F$201,E5,'1_Dataset'!J$2:J$201)</f>
        <v>64262.420000000013</v>
      </c>
    </row>
    <row r="6" spans="1:14" ht="18" customHeight="1" x14ac:dyDescent="0.3">
      <c r="A6" s="3" t="s">
        <v>35</v>
      </c>
      <c r="B6" s="25">
        <f>SUMIF('1_Dataset'!G$2:G$201,A6,'1_Dataset'!J$2:J$201)</f>
        <v>106829.93000000002</v>
      </c>
      <c r="C6" s="25">
        <f>SUMIF('1_Dataset'!G$2:G$201,A6,'1_Dataset'!M$2:M$201)</f>
        <v>17225.500000000004</v>
      </c>
      <c r="E6" s="3" t="s">
        <v>50</v>
      </c>
      <c r="F6" s="25">
        <f>SUMIF('1_Dataset'!F$2:F$201,E6,'1_Dataset'!J$2:J$201)</f>
        <v>90039.330000000031</v>
      </c>
    </row>
    <row r="7" spans="1:14" ht="18" customHeight="1" x14ac:dyDescent="0.3">
      <c r="E7" s="36" t="s">
        <v>26</v>
      </c>
      <c r="F7" s="26">
        <f>SUMIF('1_Dataset'!F$2:F$201,E7,'1_Dataset'!J$2:J$201)</f>
        <v>67162.950000000012</v>
      </c>
    </row>
    <row r="26" spans="1:6" ht="24" customHeight="1" x14ac:dyDescent="0.3"/>
    <row r="27" spans="1:6" ht="19.5" customHeight="1" x14ac:dyDescent="0.3"/>
    <row r="28" spans="1:6" ht="18" customHeight="1" x14ac:dyDescent="0.3">
      <c r="A28" s="58" t="s">
        <v>610</v>
      </c>
      <c r="B28" s="58"/>
      <c r="C28" s="58"/>
      <c r="D28" s="58"/>
      <c r="E28" s="58"/>
      <c r="F28" s="58"/>
    </row>
    <row r="29" spans="1:6" ht="18" customHeight="1" x14ac:dyDescent="0.3">
      <c r="A29" s="28" t="s">
        <v>0</v>
      </c>
      <c r="B29" s="28" t="s">
        <v>9</v>
      </c>
      <c r="C29" s="28" t="s">
        <v>12</v>
      </c>
      <c r="D29" s="28" t="s">
        <v>11</v>
      </c>
      <c r="E29" s="28" t="s">
        <v>6</v>
      </c>
      <c r="F29" s="28" t="s">
        <v>611</v>
      </c>
    </row>
    <row r="30" spans="1:6" ht="18" customHeight="1" x14ac:dyDescent="0.3">
      <c r="A30" s="2" t="str">
        <f>'1_Dataset'!A2</f>
        <v>ORD-0001</v>
      </c>
      <c r="B30" s="25">
        <f>'1_Dataset'!J2</f>
        <v>749.78</v>
      </c>
      <c r="C30" s="25">
        <f>'1_Dataset'!M2</f>
        <v>-6.75</v>
      </c>
      <c r="D30" s="5">
        <f>'1_Dataset'!L2</f>
        <v>0.3</v>
      </c>
      <c r="E30" s="2" t="str">
        <f>'1_Dataset'!G2</f>
        <v>Furniture</v>
      </c>
      <c r="F30" s="2" t="s">
        <v>612</v>
      </c>
    </row>
    <row r="31" spans="1:6" ht="18" customHeight="1" x14ac:dyDescent="0.3">
      <c r="A31" s="23" t="str">
        <f>'1_Dataset'!A3</f>
        <v>ORD-0002</v>
      </c>
      <c r="B31" s="26">
        <f>'1_Dataset'!J3</f>
        <v>671.54</v>
      </c>
      <c r="C31" s="26">
        <f>'1_Dataset'!M3</f>
        <v>-26.45</v>
      </c>
      <c r="D31" s="37">
        <f>'1_Dataset'!L3</f>
        <v>0.2</v>
      </c>
      <c r="E31" s="23" t="str">
        <f>'1_Dataset'!G3</f>
        <v>Furniture</v>
      </c>
      <c r="F31" s="23" t="s">
        <v>612</v>
      </c>
    </row>
    <row r="32" spans="1:6" ht="18" customHeight="1" x14ac:dyDescent="0.3">
      <c r="A32" s="2" t="str">
        <f>'1_Dataset'!A4</f>
        <v>ORD-0003</v>
      </c>
      <c r="B32" s="25">
        <f>'1_Dataset'!J4</f>
        <v>2281.25</v>
      </c>
      <c r="C32" s="25">
        <f>'1_Dataset'!M4</f>
        <v>271.57</v>
      </c>
      <c r="D32" s="5">
        <f>'1_Dataset'!L4</f>
        <v>0.3</v>
      </c>
      <c r="E32" s="2" t="str">
        <f>'1_Dataset'!G4</f>
        <v>Technology</v>
      </c>
      <c r="F32" s="2" t="s">
        <v>612</v>
      </c>
    </row>
    <row r="33" spans="1:6" ht="18" customHeight="1" x14ac:dyDescent="0.3">
      <c r="A33" s="23" t="str">
        <f>'1_Dataset'!A5</f>
        <v>ORD-0004</v>
      </c>
      <c r="B33" s="26">
        <f>'1_Dataset'!J5</f>
        <v>1089.76</v>
      </c>
      <c r="C33" s="26">
        <f>'1_Dataset'!M5</f>
        <v>60.82</v>
      </c>
      <c r="D33" s="37">
        <f>'1_Dataset'!L5</f>
        <v>0.2</v>
      </c>
      <c r="E33" s="23" t="str">
        <f>'1_Dataset'!G5</f>
        <v>Technology</v>
      </c>
      <c r="F33" s="23" t="s">
        <v>612</v>
      </c>
    </row>
    <row r="34" spans="1:6" ht="18" customHeight="1" x14ac:dyDescent="0.3">
      <c r="A34" s="2" t="str">
        <f>'1_Dataset'!A6</f>
        <v>ORD-0005</v>
      </c>
      <c r="B34" s="25">
        <f>'1_Dataset'!J6</f>
        <v>2491.63</v>
      </c>
      <c r="C34" s="25">
        <f>'1_Dataset'!M6</f>
        <v>450.84</v>
      </c>
      <c r="D34" s="5">
        <f>'1_Dataset'!L6</f>
        <v>0</v>
      </c>
      <c r="E34" s="2" t="str">
        <f>'1_Dataset'!G6</f>
        <v>Furniture</v>
      </c>
      <c r="F34" s="2" t="s">
        <v>612</v>
      </c>
    </row>
    <row r="35" spans="1:6" ht="18" customHeight="1" x14ac:dyDescent="0.3">
      <c r="A35" s="23" t="str">
        <f>'1_Dataset'!A7</f>
        <v>ORD-0006</v>
      </c>
      <c r="B35" s="26">
        <f>'1_Dataset'!J7</f>
        <v>2602.12</v>
      </c>
      <c r="C35" s="26">
        <f>'1_Dataset'!M7</f>
        <v>341.83</v>
      </c>
      <c r="D35" s="37">
        <f>'1_Dataset'!L7</f>
        <v>0</v>
      </c>
      <c r="E35" s="23" t="str">
        <f>'1_Dataset'!G7</f>
        <v>Furniture</v>
      </c>
      <c r="F35" s="23" t="s">
        <v>612</v>
      </c>
    </row>
    <row r="36" spans="1:6" ht="18" customHeight="1" x14ac:dyDescent="0.3">
      <c r="A36" s="2" t="str">
        <f>'1_Dataset'!A8</f>
        <v>ORD-0007</v>
      </c>
      <c r="B36" s="25">
        <f>'1_Dataset'!J8</f>
        <v>1835.21</v>
      </c>
      <c r="C36" s="25">
        <f>'1_Dataset'!M8</f>
        <v>443.48</v>
      </c>
      <c r="D36" s="5">
        <f>'1_Dataset'!L8</f>
        <v>0.2</v>
      </c>
      <c r="E36" s="2" t="str">
        <f>'1_Dataset'!G8</f>
        <v>Technology</v>
      </c>
      <c r="F36" s="2" t="s">
        <v>612</v>
      </c>
    </row>
    <row r="37" spans="1:6" ht="18" customHeight="1" x14ac:dyDescent="0.3">
      <c r="A37" s="23" t="str">
        <f>'1_Dataset'!A9</f>
        <v>ORD-0008</v>
      </c>
      <c r="B37" s="26">
        <f>'1_Dataset'!J9</f>
        <v>2060.15</v>
      </c>
      <c r="C37" s="26">
        <f>'1_Dataset'!M9</f>
        <v>574.21</v>
      </c>
      <c r="D37" s="37">
        <f>'1_Dataset'!L9</f>
        <v>0</v>
      </c>
      <c r="E37" s="23" t="str">
        <f>'1_Dataset'!G9</f>
        <v>Office Supplies</v>
      </c>
      <c r="F37" s="23" t="s">
        <v>612</v>
      </c>
    </row>
    <row r="38" spans="1:6" ht="18" customHeight="1" x14ac:dyDescent="0.3">
      <c r="A38" s="2" t="str">
        <f>'1_Dataset'!A10</f>
        <v>ORD-0009</v>
      </c>
      <c r="B38" s="25">
        <f>'1_Dataset'!J10</f>
        <v>653.63</v>
      </c>
      <c r="C38" s="25">
        <f>'1_Dataset'!M10</f>
        <v>198.62</v>
      </c>
      <c r="D38" s="5">
        <f>'1_Dataset'!L10</f>
        <v>0.1</v>
      </c>
      <c r="E38" s="2" t="str">
        <f>'1_Dataset'!G10</f>
        <v>Office Supplies</v>
      </c>
      <c r="F38" s="2" t="s">
        <v>612</v>
      </c>
    </row>
    <row r="39" spans="1:6" ht="18" customHeight="1" x14ac:dyDescent="0.3">
      <c r="A39" s="23" t="str">
        <f>'1_Dataset'!A11</f>
        <v>ORD-0010</v>
      </c>
      <c r="B39" s="26">
        <f>'1_Dataset'!J11</f>
        <v>1626.15</v>
      </c>
      <c r="C39" s="26">
        <f>'1_Dataset'!M11</f>
        <v>502.69</v>
      </c>
      <c r="D39" s="37">
        <f>'1_Dataset'!L11</f>
        <v>0.1</v>
      </c>
      <c r="E39" s="23" t="str">
        <f>'1_Dataset'!G11</f>
        <v>Office Supplies</v>
      </c>
      <c r="F39" s="23" t="s">
        <v>612</v>
      </c>
    </row>
    <row r="40" spans="1:6" ht="18" customHeight="1" x14ac:dyDescent="0.3">
      <c r="A40" s="2" t="str">
        <f>'1_Dataset'!A12</f>
        <v>ORD-0011</v>
      </c>
      <c r="B40" s="25">
        <f>'1_Dataset'!J12</f>
        <v>2586.09</v>
      </c>
      <c r="C40" s="25">
        <f>'1_Dataset'!M12</f>
        <v>36.19</v>
      </c>
      <c r="D40" s="5">
        <f>'1_Dataset'!L12</f>
        <v>0.3</v>
      </c>
      <c r="E40" s="2" t="str">
        <f>'1_Dataset'!G12</f>
        <v>Furniture</v>
      </c>
      <c r="F40" s="2" t="s">
        <v>612</v>
      </c>
    </row>
    <row r="41" spans="1:6" ht="18" customHeight="1" x14ac:dyDescent="0.3">
      <c r="A41" s="23" t="str">
        <f>'1_Dataset'!A13</f>
        <v>ORD-0012</v>
      </c>
      <c r="B41" s="26">
        <f>'1_Dataset'!J13</f>
        <v>2913.81</v>
      </c>
      <c r="C41" s="26">
        <f>'1_Dataset'!M13</f>
        <v>694.33</v>
      </c>
      <c r="D41" s="37">
        <f>'1_Dataset'!L13</f>
        <v>0.3</v>
      </c>
      <c r="E41" s="23" t="str">
        <f>'1_Dataset'!G13</f>
        <v>Technology</v>
      </c>
      <c r="F41" s="23" t="s">
        <v>612</v>
      </c>
    </row>
    <row r="42" spans="1:6" ht="18" customHeight="1" x14ac:dyDescent="0.3">
      <c r="A42" s="2" t="str">
        <f>'1_Dataset'!A14</f>
        <v>ORD-0013</v>
      </c>
      <c r="B42" s="25">
        <f>'1_Dataset'!J14</f>
        <v>491.31</v>
      </c>
      <c r="C42" s="25">
        <f>'1_Dataset'!M14</f>
        <v>147.56</v>
      </c>
      <c r="D42" s="5">
        <f>'1_Dataset'!L14</f>
        <v>0.3</v>
      </c>
      <c r="E42" s="2" t="str">
        <f>'1_Dataset'!G14</f>
        <v>Technology</v>
      </c>
      <c r="F42" s="2" t="s">
        <v>612</v>
      </c>
    </row>
    <row r="43" spans="1:6" x14ac:dyDescent="0.3">
      <c r="A43" s="23" t="str">
        <f>'1_Dataset'!A15</f>
        <v>ORD-0014</v>
      </c>
      <c r="B43" s="26">
        <f>'1_Dataset'!J15</f>
        <v>475.46</v>
      </c>
      <c r="C43" s="26">
        <f>'1_Dataset'!M15</f>
        <v>157.57</v>
      </c>
      <c r="D43" s="37">
        <f>'1_Dataset'!L15</f>
        <v>0.2</v>
      </c>
      <c r="E43" s="23" t="str">
        <f>'1_Dataset'!G15</f>
        <v>Technology</v>
      </c>
      <c r="F43" s="23" t="s">
        <v>612</v>
      </c>
    </row>
    <row r="44" spans="1:6" x14ac:dyDescent="0.3">
      <c r="A44" s="2" t="str">
        <f>'1_Dataset'!A16</f>
        <v>ORD-0015</v>
      </c>
      <c r="B44" s="25">
        <f>'1_Dataset'!J16</f>
        <v>733.57</v>
      </c>
      <c r="C44" s="25">
        <f>'1_Dataset'!M16</f>
        <v>241.18</v>
      </c>
      <c r="D44" s="5">
        <f>'1_Dataset'!L16</f>
        <v>0.2</v>
      </c>
      <c r="E44" s="2" t="str">
        <f>'1_Dataset'!G16</f>
        <v>Technology</v>
      </c>
      <c r="F44" s="2" t="s">
        <v>612</v>
      </c>
    </row>
  </sheetData>
  <mergeCells count="2">
    <mergeCell ref="A1:N1"/>
    <mergeCell ref="A28:F28"/>
  </mergeCells>
  <conditionalFormatting sqref="B30:B4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{B4986D64-48AE-4830-91DA-DEA057627616}</x14:id>
        </ext>
      </extLst>
    </cfRule>
  </conditionalFormatting>
  <conditionalFormatting sqref="C30:C44">
    <cfRule type="colorScale" priority="3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986D64-48AE-4830-91DA-DEA057627616}">
            <x14:dataBar axisPosition="none">
              <x14:cfvo type="min"/>
              <x14:cfvo type="max"/>
              <x14:negativeFillColor rgb="FF638EC6"/>
            </x14:dataBar>
          </x14:cfRule>
          <xm:sqref>B30:B44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opLeftCell="A7" zoomScale="90" zoomScaleNormal="90" workbookViewId="0">
      <selection activeCell="R22" sqref="R22"/>
    </sheetView>
  </sheetViews>
  <sheetFormatPr defaultColWidth="8.6640625" defaultRowHeight="14.4" x14ac:dyDescent="0.3"/>
  <cols>
    <col min="1" max="1" width="16" customWidth="1"/>
    <col min="2" max="3" width="10" customWidth="1"/>
    <col min="4" max="4" width="16" customWidth="1"/>
    <col min="5" max="6" width="10" customWidth="1"/>
    <col min="7" max="7" width="16" customWidth="1"/>
    <col min="8" max="9" width="10" customWidth="1"/>
    <col min="10" max="10" width="16" customWidth="1"/>
    <col min="11" max="12" width="10" customWidth="1"/>
    <col min="13" max="13" width="16" customWidth="1"/>
    <col min="14" max="16" width="10" customWidth="1"/>
  </cols>
  <sheetData>
    <row r="1" spans="1:16" ht="49.5" customHeight="1" x14ac:dyDescent="0.3">
      <c r="A1" s="59" t="s">
        <v>613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9.5" customHeight="1" thickBot="1" x14ac:dyDescent="0.35"/>
    <row r="3" spans="1:16" ht="25.2" thickBot="1" x14ac:dyDescent="0.35">
      <c r="A3" s="60" t="s">
        <v>614</v>
      </c>
      <c r="B3" s="60"/>
      <c r="C3" s="60"/>
      <c r="D3" s="61" t="s">
        <v>615</v>
      </c>
      <c r="E3" s="61"/>
      <c r="F3" s="61"/>
      <c r="G3" s="62" t="s">
        <v>616</v>
      </c>
      <c r="H3" s="62"/>
      <c r="I3" s="62"/>
      <c r="J3" s="63" t="s">
        <v>617</v>
      </c>
      <c r="K3" s="63"/>
      <c r="L3" s="63"/>
      <c r="M3" s="64" t="s">
        <v>618</v>
      </c>
      <c r="N3" s="64"/>
      <c r="O3" s="64"/>
    </row>
    <row r="4" spans="1:16" ht="27.75" customHeight="1" thickBot="1" x14ac:dyDescent="0.35">
      <c r="A4" s="65" t="s">
        <v>619</v>
      </c>
      <c r="B4" s="65"/>
      <c r="C4" s="65"/>
      <c r="D4" s="66" t="s">
        <v>620</v>
      </c>
      <c r="E4" s="66"/>
      <c r="F4" s="66"/>
      <c r="G4" s="67" t="s">
        <v>621</v>
      </c>
      <c r="H4" s="67"/>
      <c r="I4" s="67"/>
      <c r="J4" s="68" t="s">
        <v>622</v>
      </c>
      <c r="K4" s="68"/>
      <c r="L4" s="68"/>
      <c r="M4" s="69" t="s">
        <v>623</v>
      </c>
      <c r="N4" s="69"/>
      <c r="O4" s="69"/>
    </row>
    <row r="5" spans="1:16" ht="19.5" customHeight="1" thickBot="1" x14ac:dyDescent="0.35">
      <c r="A5" s="70">
        <f>SUM('1_Dataset'!J2:J201)</f>
        <v>301247.37999999995</v>
      </c>
      <c r="B5" s="70"/>
      <c r="C5" s="70"/>
      <c r="D5" s="71">
        <f>SUM('1_Dataset'!M2:M201)</f>
        <v>45095.840000000018</v>
      </c>
      <c r="E5" s="71"/>
      <c r="F5" s="71"/>
      <c r="G5" s="72">
        <f>COUNTA('1_Dataset'!A2:A201)</f>
        <v>200</v>
      </c>
      <c r="H5" s="72"/>
      <c r="I5" s="72"/>
      <c r="J5" s="73">
        <f>AVERAGE('1_Dataset'!L2:L201)</f>
        <v>9.6499999999999989E-2</v>
      </c>
      <c r="K5" s="73"/>
      <c r="L5" s="73"/>
      <c r="M5" s="74">
        <f>SUM('1_Dataset'!M2:M201)/SUM('1_Dataset'!J2:J201)</f>
        <v>0.14969703636924586</v>
      </c>
      <c r="N5" s="74"/>
      <c r="O5" s="74"/>
    </row>
    <row r="6" spans="1:16" ht="31.5" customHeight="1" x14ac:dyDescent="0.3"/>
    <row r="7" spans="1:16" x14ac:dyDescent="0.3">
      <c r="A7" s="75" t="s">
        <v>624</v>
      </c>
      <c r="B7" s="75"/>
      <c r="C7" s="75"/>
      <c r="E7" s="76" t="s">
        <v>625</v>
      </c>
      <c r="F7" s="76"/>
      <c r="G7" s="76"/>
      <c r="I7" s="76" t="s">
        <v>626</v>
      </c>
      <c r="J7" s="76"/>
      <c r="K7" s="76"/>
      <c r="M7" s="76" t="s">
        <v>627</v>
      </c>
      <c r="N7" s="76"/>
      <c r="O7" s="76"/>
      <c r="P7" s="76"/>
    </row>
    <row r="8" spans="1:16" ht="21.75" customHeight="1" x14ac:dyDescent="0.3">
      <c r="A8" s="38" t="s">
        <v>6</v>
      </c>
      <c r="B8" s="38" t="s">
        <v>9</v>
      </c>
      <c r="C8" s="38" t="s">
        <v>12</v>
      </c>
      <c r="E8" s="38" t="s">
        <v>5</v>
      </c>
      <c r="F8" s="38" t="s">
        <v>9</v>
      </c>
      <c r="G8" s="38" t="s">
        <v>12</v>
      </c>
      <c r="I8" s="38" t="s">
        <v>4</v>
      </c>
      <c r="J8" s="38" t="s">
        <v>9</v>
      </c>
      <c r="K8" s="38" t="s">
        <v>12</v>
      </c>
      <c r="M8" s="38" t="s">
        <v>628</v>
      </c>
      <c r="N8" s="38" t="s">
        <v>9</v>
      </c>
      <c r="O8" s="38" t="s">
        <v>12</v>
      </c>
      <c r="P8" s="38" t="s">
        <v>629</v>
      </c>
    </row>
    <row r="9" spans="1:16" ht="18" customHeight="1" x14ac:dyDescent="0.3">
      <c r="A9" s="39" t="s">
        <v>19</v>
      </c>
      <c r="B9" s="40">
        <f>SUMIF('1_Dataset'!G$2:G$201,A9,'1_Dataset'!J$2:J$201)</f>
        <v>98809.239999999976</v>
      </c>
      <c r="C9" s="40">
        <f>SUMIF('1_Dataset'!G$2:G$201,A9,'1_Dataset'!M$2:M$201)</f>
        <v>13726.07</v>
      </c>
      <c r="E9" s="39" t="s">
        <v>18</v>
      </c>
      <c r="F9" s="40">
        <f>SUMIF('1_Dataset'!F$2:F$201,E9,'1_Dataset'!J$2:J$201)</f>
        <v>79782.679999999993</v>
      </c>
      <c r="G9" s="40">
        <f>SUMIF('1_Dataset'!F$2:F$201,E9,'1_Dataset'!M$2:M$201)</f>
        <v>11968.7</v>
      </c>
      <c r="I9" s="39" t="s">
        <v>33</v>
      </c>
      <c r="J9" s="40">
        <f>SUMIF('1_Dataset'!E$2:E$201,I9,'1_Dataset'!J$2:J$201)</f>
        <v>95569.269999999931</v>
      </c>
      <c r="K9" s="40">
        <f>SUMIF('1_Dataset'!E$2:E$201,I9,'1_Dataset'!M$2:M$201)</f>
        <v>13594.12</v>
      </c>
      <c r="M9" s="39" t="s">
        <v>36</v>
      </c>
      <c r="N9" s="40">
        <f>SUMIF('1_Dataset'!H$2:H$201,M9,'1_Dataset'!J$2:J$201)</f>
        <v>26191.290000000008</v>
      </c>
      <c r="O9" s="40">
        <f>SUMIF('1_Dataset'!H$2:H$201,M9,'1_Dataset'!M$2:M$201)</f>
        <v>5404.12</v>
      </c>
      <c r="P9" s="2">
        <f>COUNTIF('1_Dataset'!H$2:H$201,M9)</f>
        <v>20</v>
      </c>
    </row>
    <row r="10" spans="1:16" ht="18" customHeight="1" x14ac:dyDescent="0.3">
      <c r="A10" s="41" t="s">
        <v>60</v>
      </c>
      <c r="B10" s="42">
        <f>SUMIF('1_Dataset'!G$2:G$201,A10,'1_Dataset'!J$2:J$201)</f>
        <v>95608.209999999992</v>
      </c>
      <c r="C10" s="42">
        <f>SUMIF('1_Dataset'!G$2:G$201,A10,'1_Dataset'!M$2:M$201)</f>
        <v>14144.270000000002</v>
      </c>
      <c r="E10" s="41" t="s">
        <v>34</v>
      </c>
      <c r="F10" s="42">
        <f>SUMIF('1_Dataset'!F$2:F$201,E10,'1_Dataset'!J$2:J$201)</f>
        <v>64262.420000000013</v>
      </c>
      <c r="G10" s="42">
        <f>SUMIF('1_Dataset'!F$2:F$201,E10,'1_Dataset'!M$2:M$201)</f>
        <v>9659.909999999998</v>
      </c>
      <c r="I10" s="41" t="s">
        <v>57</v>
      </c>
      <c r="J10" s="42">
        <f>SUMIF('1_Dataset'!E$2:E$201,I10,'1_Dataset'!J$2:J$201)</f>
        <v>103344.90000000002</v>
      </c>
      <c r="K10" s="42">
        <f>SUMIF('1_Dataset'!E$2:E$201,I10,'1_Dataset'!M$2:M$201)</f>
        <v>17549.600000000002</v>
      </c>
      <c r="M10" s="41" t="s">
        <v>27</v>
      </c>
      <c r="N10" s="42">
        <f>SUMIF('1_Dataset'!H$2:H$201,M10,'1_Dataset'!J$2:J$201)</f>
        <v>25465.149999999998</v>
      </c>
      <c r="O10" s="42">
        <f>SUMIF('1_Dataset'!H$2:H$201,M10,'1_Dataset'!M$2:M$201)</f>
        <v>2758.96</v>
      </c>
      <c r="P10" s="23">
        <f>COUNTIF('1_Dataset'!H$2:H$201,M10)</f>
        <v>17</v>
      </c>
    </row>
    <row r="11" spans="1:16" ht="18" customHeight="1" x14ac:dyDescent="0.3">
      <c r="A11" s="39" t="s">
        <v>35</v>
      </c>
      <c r="B11" s="40">
        <f>SUMIF('1_Dataset'!G$2:G$201,A11,'1_Dataset'!J$2:J$201)</f>
        <v>106829.93000000002</v>
      </c>
      <c r="C11" s="40">
        <f>SUMIF('1_Dataset'!G$2:G$201,A11,'1_Dataset'!M$2:M$201)</f>
        <v>17225.500000000004</v>
      </c>
      <c r="E11" s="39" t="s">
        <v>50</v>
      </c>
      <c r="F11" s="40">
        <f>SUMIF('1_Dataset'!F$2:F$201,E11,'1_Dataset'!J$2:J$201)</f>
        <v>90039.330000000031</v>
      </c>
      <c r="G11" s="40">
        <f>SUMIF('1_Dataset'!F$2:F$201,E11,'1_Dataset'!M$2:M$201)</f>
        <v>14210.86</v>
      </c>
      <c r="I11" s="39" t="s">
        <v>17</v>
      </c>
      <c r="J11" s="40">
        <f>SUMIF('1_Dataset'!E$2:E$201,I11,'1_Dataset'!J$2:J$201)</f>
        <v>102333.21000000002</v>
      </c>
      <c r="K11" s="40">
        <f>SUMIF('1_Dataset'!E$2:E$201,I11,'1_Dataset'!M$2:M$201)</f>
        <v>13952.120000000003</v>
      </c>
      <c r="M11" s="39" t="s">
        <v>51</v>
      </c>
      <c r="N11" s="40">
        <f>SUMIF('1_Dataset'!H$2:H$201,M11,'1_Dataset'!J$2:J$201)</f>
        <v>27674.33</v>
      </c>
      <c r="O11" s="40">
        <f>SUMIF('1_Dataset'!H$2:H$201,M11,'1_Dataset'!M$2:M$201)</f>
        <v>4098.1099999999997</v>
      </c>
      <c r="P11" s="2">
        <f>COUNTIF('1_Dataset'!H$2:H$201,M11)</f>
        <v>15</v>
      </c>
    </row>
    <row r="12" spans="1:16" ht="18" customHeight="1" x14ac:dyDescent="0.3">
      <c r="E12" s="41" t="s">
        <v>26</v>
      </c>
      <c r="F12" s="42">
        <f>SUMIF('1_Dataset'!F$2:F$201,E12,'1_Dataset'!J$2:J$201)</f>
        <v>67162.950000000012</v>
      </c>
      <c r="G12" s="42">
        <f>SUMIF('1_Dataset'!F$2:F$201,E12,'1_Dataset'!M$2:M$201)</f>
        <v>9256.3700000000008</v>
      </c>
      <c r="M12" s="41" t="s">
        <v>81</v>
      </c>
      <c r="N12" s="42">
        <f>SUMIF('1_Dataset'!H$2:H$201,M12,'1_Dataset'!J$2:J$201)</f>
        <v>25011.35</v>
      </c>
      <c r="O12" s="42">
        <f>SUMIF('1_Dataset'!H$2:H$201,M12,'1_Dataset'!M$2:M$201)</f>
        <v>4617.2999999999993</v>
      </c>
      <c r="P12" s="23">
        <f>COUNTIF('1_Dataset'!H$2:H$201,M12)</f>
        <v>14</v>
      </c>
    </row>
    <row r="13" spans="1:16" ht="18" customHeight="1" x14ac:dyDescent="0.3">
      <c r="M13" s="39" t="s">
        <v>61</v>
      </c>
      <c r="N13" s="40">
        <f>SUMIF('1_Dataset'!H$2:H$201,M13,'1_Dataset'!J$2:J$201)</f>
        <v>21552.23</v>
      </c>
      <c r="O13" s="40">
        <f>SUMIF('1_Dataset'!H$2:H$201,M13,'1_Dataset'!M$2:M$201)</f>
        <v>3000.8800000000006</v>
      </c>
      <c r="P13" s="2">
        <f>COUNTIF('1_Dataset'!H$2:H$201,M13)</f>
        <v>17</v>
      </c>
    </row>
    <row r="14" spans="1:16" ht="18" customHeight="1" x14ac:dyDescent="0.3"/>
    <row r="30" ht="30" customHeight="1" x14ac:dyDescent="0.3"/>
    <row r="35" spans="16:16" x14ac:dyDescent="0.3">
      <c r="P35" t="s">
        <v>707</v>
      </c>
    </row>
  </sheetData>
  <mergeCells count="20">
    <mergeCell ref="A7:C7"/>
    <mergeCell ref="E7:G7"/>
    <mergeCell ref="I7:K7"/>
    <mergeCell ref="M7:P7"/>
    <mergeCell ref="A5:C5"/>
    <mergeCell ref="D5:F5"/>
    <mergeCell ref="G5:I5"/>
    <mergeCell ref="J5:L5"/>
    <mergeCell ref="M5:O5"/>
    <mergeCell ref="A4:C4"/>
    <mergeCell ref="D4:F4"/>
    <mergeCell ref="G4:I4"/>
    <mergeCell ref="J4:L4"/>
    <mergeCell ref="M4:O4"/>
    <mergeCell ref="A1:P1"/>
    <mergeCell ref="A3:C3"/>
    <mergeCell ref="D3:F3"/>
    <mergeCell ref="G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showGridLines="0" tabSelected="1" topLeftCell="A20" zoomScaleNormal="100" workbookViewId="0">
      <selection activeCell="B20" sqref="B20"/>
    </sheetView>
  </sheetViews>
  <sheetFormatPr defaultColWidth="8.6640625" defaultRowHeight="14.4" x14ac:dyDescent="0.3"/>
  <cols>
    <col min="1" max="1" width="20" customWidth="1"/>
    <col min="2" max="2" width="50" customWidth="1"/>
    <col min="3" max="3" width="25" customWidth="1"/>
    <col min="4" max="4" width="15" customWidth="1"/>
  </cols>
  <sheetData>
    <row r="1" spans="1:4" ht="39.75" customHeight="1" x14ac:dyDescent="0.3">
      <c r="A1" s="77" t="s">
        <v>630</v>
      </c>
      <c r="B1" s="77"/>
      <c r="C1" s="77"/>
      <c r="D1" s="77"/>
    </row>
    <row r="3" spans="1:4" ht="24" customHeight="1" x14ac:dyDescent="0.3">
      <c r="A3" s="78" t="s">
        <v>631</v>
      </c>
      <c r="B3" s="78"/>
      <c r="C3" s="78"/>
      <c r="D3" s="78"/>
    </row>
    <row r="4" spans="1:4" ht="21.75" customHeight="1" x14ac:dyDescent="0.3">
      <c r="A4" s="79" t="s">
        <v>632</v>
      </c>
      <c r="B4" s="79" t="s">
        <v>633</v>
      </c>
      <c r="C4" s="79" t="s">
        <v>634</v>
      </c>
      <c r="D4" s="79" t="s">
        <v>635</v>
      </c>
    </row>
    <row r="5" spans="1:4" ht="27.75" customHeight="1" x14ac:dyDescent="0.3">
      <c r="A5" s="80" t="s">
        <v>636</v>
      </c>
      <c r="B5" s="81" t="s">
        <v>637</v>
      </c>
      <c r="C5" s="81" t="s">
        <v>638</v>
      </c>
      <c r="D5" s="82" t="s">
        <v>639</v>
      </c>
    </row>
    <row r="6" spans="1:4" ht="27.75" customHeight="1" x14ac:dyDescent="0.3">
      <c r="A6" s="83" t="s">
        <v>640</v>
      </c>
      <c r="B6" s="84" t="s">
        <v>641</v>
      </c>
      <c r="C6" s="84" t="s">
        <v>642</v>
      </c>
      <c r="D6" s="85" t="s">
        <v>643</v>
      </c>
    </row>
    <row r="7" spans="1:4" ht="27.75" customHeight="1" x14ac:dyDescent="0.3">
      <c r="A7" s="80" t="s">
        <v>644</v>
      </c>
      <c r="B7" s="81" t="s">
        <v>645</v>
      </c>
      <c r="C7" s="81" t="s">
        <v>646</v>
      </c>
      <c r="D7" s="82" t="s">
        <v>647</v>
      </c>
    </row>
    <row r="8" spans="1:4" ht="27.75" customHeight="1" x14ac:dyDescent="0.3">
      <c r="A8" s="83" t="s">
        <v>648</v>
      </c>
      <c r="B8" s="84" t="s">
        <v>649</v>
      </c>
      <c r="C8" s="84" t="s">
        <v>650</v>
      </c>
      <c r="D8" s="85" t="s">
        <v>647</v>
      </c>
    </row>
    <row r="9" spans="1:4" ht="27.75" customHeight="1" x14ac:dyDescent="0.3">
      <c r="A9" s="80" t="s">
        <v>651</v>
      </c>
      <c r="B9" s="81" t="s">
        <v>652</v>
      </c>
      <c r="C9" s="81" t="s">
        <v>653</v>
      </c>
      <c r="D9" s="82" t="s">
        <v>654</v>
      </c>
    </row>
    <row r="10" spans="1:4" ht="27.75" customHeight="1" x14ac:dyDescent="0.3">
      <c r="A10" s="83" t="s">
        <v>655</v>
      </c>
      <c r="B10" s="84" t="s">
        <v>656</v>
      </c>
      <c r="C10" s="84" t="s">
        <v>657</v>
      </c>
      <c r="D10" s="85" t="s">
        <v>658</v>
      </c>
    </row>
    <row r="11" spans="1:4" ht="27.75" customHeight="1" x14ac:dyDescent="0.3">
      <c r="A11" s="80" t="s">
        <v>659</v>
      </c>
      <c r="B11" s="81" t="s">
        <v>660</v>
      </c>
      <c r="C11" s="81" t="s">
        <v>661</v>
      </c>
      <c r="D11" s="82" t="s">
        <v>643</v>
      </c>
    </row>
    <row r="13" spans="1:4" ht="24" customHeight="1" x14ac:dyDescent="0.3">
      <c r="A13" s="78" t="s">
        <v>662</v>
      </c>
      <c r="B13" s="78"/>
      <c r="C13" s="78"/>
      <c r="D13" s="78"/>
    </row>
    <row r="14" spans="1:4" ht="19.5" customHeight="1" x14ac:dyDescent="0.3">
      <c r="A14" s="79" t="s">
        <v>663</v>
      </c>
      <c r="B14" s="79" t="s">
        <v>664</v>
      </c>
      <c r="C14" s="79" t="s">
        <v>665</v>
      </c>
      <c r="D14" s="79" t="s">
        <v>666</v>
      </c>
    </row>
    <row r="15" spans="1:4" ht="27.6" x14ac:dyDescent="0.3">
      <c r="A15" s="80" t="s">
        <v>667</v>
      </c>
      <c r="B15" s="81" t="s">
        <v>668</v>
      </c>
      <c r="C15" s="81" t="s">
        <v>669</v>
      </c>
      <c r="D15" s="81"/>
    </row>
    <row r="16" spans="1:4" ht="27.6" x14ac:dyDescent="0.3">
      <c r="A16" s="83" t="s">
        <v>670</v>
      </c>
      <c r="B16" s="84" t="s">
        <v>671</v>
      </c>
      <c r="C16" s="84" t="s">
        <v>672</v>
      </c>
      <c r="D16" s="84"/>
    </row>
    <row r="17" spans="1:4" ht="27.6" x14ac:dyDescent="0.3">
      <c r="A17" s="80" t="s">
        <v>673</v>
      </c>
      <c r="B17" s="81" t="s">
        <v>674</v>
      </c>
      <c r="C17" s="81" t="s">
        <v>675</v>
      </c>
      <c r="D17" s="81"/>
    </row>
    <row r="18" spans="1:4" x14ac:dyDescent="0.3">
      <c r="A18" s="83" t="s">
        <v>676</v>
      </c>
      <c r="B18" s="84" t="s">
        <v>677</v>
      </c>
      <c r="C18" s="84" t="s">
        <v>678</v>
      </c>
      <c r="D18" s="84"/>
    </row>
    <row r="19" spans="1:4" x14ac:dyDescent="0.3">
      <c r="A19" s="80" t="s">
        <v>679</v>
      </c>
      <c r="B19" s="81" t="s">
        <v>680</v>
      </c>
      <c r="C19" s="81" t="s">
        <v>681</v>
      </c>
      <c r="D19" s="81"/>
    </row>
    <row r="20" spans="1:4" ht="27.6" x14ac:dyDescent="0.3">
      <c r="A20" s="83" t="s">
        <v>682</v>
      </c>
      <c r="B20" s="84" t="s">
        <v>683</v>
      </c>
      <c r="C20" s="84" t="s">
        <v>684</v>
      </c>
      <c r="D20" s="84"/>
    </row>
    <row r="21" spans="1:4" ht="27.6" x14ac:dyDescent="0.3">
      <c r="A21" s="80" t="s">
        <v>685</v>
      </c>
      <c r="B21" s="81" t="s">
        <v>686</v>
      </c>
      <c r="C21" s="81" t="s">
        <v>687</v>
      </c>
      <c r="D21" s="81"/>
    </row>
    <row r="23" spans="1:4" ht="24" customHeight="1" x14ac:dyDescent="0.3">
      <c r="A23" s="78" t="s">
        <v>688</v>
      </c>
      <c r="B23" s="78"/>
      <c r="C23" s="78"/>
      <c r="D23" s="78"/>
    </row>
    <row r="24" spans="1:4" ht="19.5" customHeight="1" x14ac:dyDescent="0.3">
      <c r="A24" s="86" t="s">
        <v>689</v>
      </c>
      <c r="B24" s="86"/>
      <c r="C24" s="86"/>
      <c r="D24" s="86"/>
    </row>
    <row r="25" spans="1:4" ht="19.5" customHeight="1" x14ac:dyDescent="0.3">
      <c r="A25" s="87" t="s">
        <v>690</v>
      </c>
      <c r="B25" s="87"/>
      <c r="C25" s="87"/>
      <c r="D25" s="87"/>
    </row>
    <row r="26" spans="1:4" ht="19.5" customHeight="1" x14ac:dyDescent="0.3">
      <c r="A26" s="86" t="s">
        <v>691</v>
      </c>
      <c r="B26" s="86"/>
      <c r="C26" s="86"/>
      <c r="D26" s="86"/>
    </row>
    <row r="27" spans="1:4" ht="19.5" customHeight="1" x14ac:dyDescent="0.3">
      <c r="A27" s="87" t="s">
        <v>692</v>
      </c>
      <c r="B27" s="87"/>
      <c r="C27" s="87"/>
      <c r="D27" s="87"/>
    </row>
    <row r="28" spans="1:4" ht="19.5" customHeight="1" x14ac:dyDescent="0.3">
      <c r="A28" s="86" t="s">
        <v>693</v>
      </c>
      <c r="B28" s="86"/>
      <c r="C28" s="86"/>
      <c r="D28" s="86"/>
    </row>
    <row r="29" spans="1:4" ht="19.5" customHeight="1" x14ac:dyDescent="0.3">
      <c r="A29" s="87" t="s">
        <v>694</v>
      </c>
      <c r="B29" s="87"/>
      <c r="C29" s="87"/>
      <c r="D29" s="87"/>
    </row>
    <row r="30" spans="1:4" ht="19.5" customHeight="1" x14ac:dyDescent="0.3">
      <c r="A30" s="86" t="s">
        <v>695</v>
      </c>
      <c r="B30" s="86"/>
      <c r="C30" s="86"/>
      <c r="D30" s="86"/>
    </row>
    <row r="31" spans="1:4" ht="19.5" customHeight="1" x14ac:dyDescent="0.3">
      <c r="A31" s="87" t="s">
        <v>696</v>
      </c>
      <c r="B31" s="87"/>
      <c r="C31" s="87"/>
      <c r="D31" s="87"/>
    </row>
    <row r="32" spans="1:4" ht="19.5" customHeight="1" x14ac:dyDescent="0.3">
      <c r="A32" s="86" t="s">
        <v>697</v>
      </c>
      <c r="B32" s="86"/>
      <c r="C32" s="86"/>
      <c r="D32" s="86"/>
    </row>
    <row r="33" spans="1:4" ht="19.5" customHeight="1" x14ac:dyDescent="0.3">
      <c r="A33" s="87" t="s">
        <v>698</v>
      </c>
      <c r="B33" s="87"/>
      <c r="C33" s="87"/>
      <c r="D33" s="87"/>
    </row>
    <row r="35" spans="1:4" ht="19.5" customHeight="1" x14ac:dyDescent="0.3">
      <c r="A35" s="88" t="s">
        <v>699</v>
      </c>
      <c r="B35" s="88"/>
      <c r="C35" s="88"/>
      <c r="D35" s="88"/>
    </row>
  </sheetData>
  <mergeCells count="15">
    <mergeCell ref="A1:D1"/>
    <mergeCell ref="A3:D3"/>
    <mergeCell ref="A13:D13"/>
    <mergeCell ref="A23:D23"/>
    <mergeCell ref="A24:D24"/>
    <mergeCell ref="A30:D30"/>
    <mergeCell ref="A31:D31"/>
    <mergeCell ref="A32:D32"/>
    <mergeCell ref="A33:D33"/>
    <mergeCell ref="A35:D35"/>
    <mergeCell ref="A25:D25"/>
    <mergeCell ref="A26:D26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1_Dataset</vt:lpstr>
      <vt:lpstr>2_DataCleaning</vt:lpstr>
      <vt:lpstr>3_PivotTables</vt:lpstr>
      <vt:lpstr>4_AdvancedFormulas</vt:lpstr>
      <vt:lpstr>5_DataVisualization</vt:lpstr>
      <vt:lpstr>6_Dashboard</vt:lpstr>
      <vt:lpstr>7_Documentation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2026-03-30T11:44:29Z</dcterms:created>
  <dcterms:modified xsi:type="dcterms:W3CDTF">2026-03-30T12:48:41Z</dcterms:modified>
  <dc:language>en-US</dc:language>
</cp:coreProperties>
</file>
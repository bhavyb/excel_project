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<sst xmlns="http://schemas.openxmlformats.org/spreadsheetml/2006/main" count="67" uniqueCount="57">
  <si>
    <t>ID</t>
  </si>
  <si>
    <t>Start Date</t>
  </si>
  <si>
    <t>End Date</t>
  </si>
  <si>
    <t>Given Date</t>
  </si>
  <si>
    <t>Year Value</t>
  </si>
  <si>
    <t>Month Value</t>
  </si>
  <si>
    <t>Day Value</t>
  </si>
  <si>
    <t>Current Date (TODAY)</t>
  </si>
  <si>
    <t>End of Current Month</t>
  </si>
  <si>
    <t>Extract Year</t>
  </si>
  <si>
    <t>Days Difference</t>
  </si>
  <si>
    <t>Created Date</t>
  </si>
  <si>
    <t>Given Time</t>
  </si>
  <si>
    <t>Start Time</t>
  </si>
  <si>
    <t>End Time</t>
  </si>
  <si>
    <t>Hour Extract</t>
  </si>
  <si>
    <t>Minute Extract</t>
  </si>
  <si>
    <t>Second Extract</t>
  </si>
  <si>
    <t>Number Hour</t>
  </si>
  <si>
    <t>Number Minute</t>
  </si>
  <si>
    <t>Number Second</t>
  </si>
  <si>
    <t>Converted Time</t>
  </si>
  <si>
    <t>Time Difference</t>
  </si>
  <si>
    <t>Current Date &amp; Time</t>
  </si>
  <si>
    <t>Decimal Number</t>
  </si>
  <si>
    <t>Number for Rounding</t>
  </si>
  <si>
    <t>Divisor</t>
  </si>
  <si>
    <t>Number for Square Root</t>
  </si>
  <si>
    <t>Negative Number</t>
  </si>
  <si>
    <t>Rounded (2 Decimals)</t>
  </si>
  <si>
    <t>CEILING Value</t>
  </si>
  <si>
    <t>FLOOR Value</t>
  </si>
  <si>
    <t>Remainder</t>
  </si>
  <si>
    <t>Square Root</t>
  </si>
  <si>
    <t>Absolute Value</t>
  </si>
  <si>
    <t>Product</t>
  </si>
  <si>
    <t>Category</t>
  </si>
  <si>
    <t>Price</t>
  </si>
  <si>
    <t>Sales</t>
  </si>
  <si>
    <t>filter Sales &gt; 50</t>
  </si>
  <si>
    <t>task2</t>
  </si>
  <si>
    <t>task3</t>
  </si>
  <si>
    <t>Laptop</t>
  </si>
  <si>
    <t>Electronics</t>
  </si>
  <si>
    <t>Phone</t>
  </si>
  <si>
    <t>Headphones</t>
  </si>
  <si>
    <t>Desk Chair</t>
  </si>
  <si>
    <t>Furniture</t>
  </si>
  <si>
    <t>Notebook</t>
  </si>
  <si>
    <t>Stationery</t>
  </si>
  <si>
    <t>Tablet</t>
  </si>
  <si>
    <t>Pen Pack</t>
  </si>
  <si>
    <t>task4</t>
  </si>
  <si>
    <t>Monitor</t>
  </si>
  <si>
    <t>Sofa</t>
  </si>
  <si>
    <t>Printer</t>
  </si>
  <si>
    <t>task5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</si>
</sst>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0"/>
      <name val="Calibri"/>
      <scheme val="minor"/>
    </font>
    <font>
      <color theme="1"/>
      <name val="Calibri"/>
      <scheme val="minor"/>
    </font>
    <font>
      <sz val="11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980000"/>
        <bgColor rgb="FF980000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0C343D"/>
        <bgColor rgb="FF0C343D"/>
      </patternFill>
    </fill>
    <fill>
      <patternFill patternType="solid">
        <fgColor rgb="FF1155CC"/>
        <bgColor rgb="FF1155C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4" xfId="0" applyAlignment="1" applyFont="1" applyNumberFormat="1">
      <alignment shrinkToFit="0" vertical="center" wrapText="1"/>
    </xf>
    <xf borderId="0" fillId="0" fontId="2" numFmtId="14" xfId="0" applyAlignment="1" applyFont="1" applyNumberFormat="1">
      <alignment shrinkToFit="0" vertical="center" wrapText="1"/>
    </xf>
    <xf borderId="0" fillId="0" fontId="2" numFmtId="21" xfId="0" applyAlignment="1" applyFont="1" applyNumberFormat="1">
      <alignment shrinkToFit="0" vertical="center" wrapText="1"/>
    </xf>
    <xf borderId="0" fillId="0" fontId="2" numFmtId="18" xfId="0" applyAlignment="1" applyFont="1" applyNumberFormat="1">
      <alignment shrinkToFit="0" vertical="center" wrapText="1"/>
    </xf>
    <xf borderId="0" fillId="0" fontId="2" numFmtId="22" xfId="0" applyAlignment="1" applyFont="1" applyNumberFormat="1">
      <alignment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/>
    </xf>
    <xf borderId="0" fillId="4" fontId="2" numFmtId="0" xfId="0" applyAlignment="1" applyFill="1" applyFont="1">
      <alignment shrinkToFit="0" vertical="center" wrapText="1"/>
    </xf>
    <xf borderId="0" fillId="4" fontId="2" numFmtId="0" xfId="0" applyAlignment="1" applyFont="1">
      <alignment shrinkToFit="0" vertical="center" wrapText="1"/>
    </xf>
    <xf borderId="0" fillId="0" fontId="4" numFmtId="0" xfId="0" applyFont="1"/>
    <xf borderId="0" fillId="5" fontId="2" numFmtId="0" xfId="0" applyAlignment="1" applyFill="1" applyFont="1">
      <alignment shrinkToFit="0" vertical="center" wrapText="1"/>
    </xf>
    <xf borderId="0" fillId="5" fontId="2" numFmtId="0" xfId="0" applyAlignment="1" applyFont="1">
      <alignment shrinkToFit="0" vertical="center" wrapText="1"/>
    </xf>
    <xf borderId="0" fillId="5" fontId="2" numFmtId="0" xfId="0" applyAlignment="1" applyFont="1">
      <alignment readingOrder="0" shrinkToFit="0" vertical="center" wrapText="1"/>
    </xf>
    <xf borderId="0" fillId="5" fontId="2" numFmtId="0" xfId="0" applyAlignment="1" applyFont="1">
      <alignment readingOrder="0" shrinkToFit="0" vertical="center" wrapText="1"/>
    </xf>
    <xf borderId="0" fillId="6" fontId="5" numFmtId="0" xfId="0" applyAlignment="1" applyFill="1" applyFont="1">
      <alignment horizontal="center" readingOrder="0" shrinkToFit="0" vertical="center" wrapText="1"/>
    </xf>
    <xf borderId="0" fillId="7" fontId="3" numFmtId="0" xfId="0" applyAlignment="1" applyFill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  <tableStyle count="3" pivot="0" name="Sheet1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6" displayName="Table_1" name="Table_1" id="1">
  <tableColumns count="12">
    <tableColumn name="ID" id="1"/>
    <tableColumn name="Start Date" id="2"/>
    <tableColumn name="End Date" id="3"/>
    <tableColumn name="Given Date" id="4"/>
    <tableColumn name="Year Value" id="5"/>
    <tableColumn name="Month Value" id="6"/>
    <tableColumn name="Day Value" id="7"/>
    <tableColumn name="Current Date (TODAY)" id="8"/>
    <tableColumn name="End of Current Month" id="9"/>
    <tableColumn name="Extract Year" id="10"/>
    <tableColumn name="Days Difference" id="11"/>
    <tableColumn name="Created Date" id="1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0:M15" displayName="Table_2" name="Table_2" id="2">
  <tableColumns count="13">
    <tableColumn name="ID" id="1"/>
    <tableColumn name="Given Time" id="2"/>
    <tableColumn name="Start Time" id="3"/>
    <tableColumn name="End Time" id="4"/>
    <tableColumn name="Hour Extract" id="5"/>
    <tableColumn name="Minute Extract" id="6"/>
    <tableColumn name="Second Extract" id="7"/>
    <tableColumn name="Number Hour" id="8"/>
    <tableColumn name="Number Minute" id="9"/>
    <tableColumn name="Number Second" id="10"/>
    <tableColumn name="Converted Time" id="11"/>
    <tableColumn name="Time Difference" id="12"/>
    <tableColumn name="Current Date &amp; Time" id="13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A19:L24" displayName="Table_3" name="Table_3" id="3">
  <tableColumns count="12">
    <tableColumn name="ID" id="1"/>
    <tableColumn name="Decimal Number" id="2"/>
    <tableColumn name="Number for Rounding" id="3"/>
    <tableColumn name="Divisor" id="4"/>
    <tableColumn name="Number for Square Root" id="5"/>
    <tableColumn name="Negative Number" id="6"/>
    <tableColumn name="Rounded (2 Decimals)" id="7"/>
    <tableColumn name="CEILING Value" id="8"/>
    <tableColumn name="FLOOR Value" id="9"/>
    <tableColumn name="Remainder" id="10"/>
    <tableColumn name="Square Root" id="11"/>
    <tableColumn name="Absolute Value" id="12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9.57"/>
    <col customWidth="1" min="3" max="3" width="24.0"/>
    <col customWidth="1" min="4" max="4" width="14.57"/>
    <col customWidth="1" min="5" max="5" width="26.29"/>
    <col customWidth="1" min="6" max="6" width="20.29"/>
    <col customWidth="1" min="7" max="7" width="24.0"/>
    <col customWidth="1" min="8" max="8" width="26.86"/>
    <col customWidth="1" min="9" max="9" width="26.71"/>
    <col customWidth="1" min="10" max="11" width="21.57"/>
    <col customWidth="1" min="12" max="12" width="21.29"/>
    <col customWidth="1" min="13" max="13" width="25.71"/>
    <col customWidth="1" min="1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2">
        <v>1.0</v>
      </c>
      <c r="B2" s="3">
        <v>45296.0</v>
      </c>
      <c r="C2" s="3">
        <v>45306.0</v>
      </c>
      <c r="D2" s="3">
        <v>44641.0</v>
      </c>
      <c r="E2" s="2">
        <v>2023.0</v>
      </c>
      <c r="F2" s="2">
        <v>7.0</v>
      </c>
      <c r="G2" s="2">
        <v>15.0</v>
      </c>
      <c r="H2" s="3">
        <f t="shared" ref="H2:H6" si="1">TODAY()</f>
        <v>46096</v>
      </c>
      <c r="I2" s="4">
        <f t="shared" ref="I2:I6" si="2">EOMONTH(TODAY(),1)</f>
        <v>46142</v>
      </c>
      <c r="J2" s="2">
        <f t="shared" ref="J2:J6" si="3">YEAR(D2)</f>
        <v>2022</v>
      </c>
      <c r="K2" s="2">
        <f t="shared" ref="K2:K6" si="4">DATEDIF(B2,C2,"d")</f>
        <v>10</v>
      </c>
      <c r="L2" s="3">
        <f t="shared" ref="L2:L6" si="5">DATE(E2,F2,G2)</f>
        <v>45122</v>
      </c>
    </row>
    <row r="3" ht="14.25" customHeight="1">
      <c r="A3" s="2">
        <v>2.0</v>
      </c>
      <c r="B3" s="3">
        <v>45332.0</v>
      </c>
      <c r="C3" s="3">
        <v>45347.0</v>
      </c>
      <c r="D3" s="3">
        <v>44514.0</v>
      </c>
      <c r="E3" s="2">
        <v>2022.0</v>
      </c>
      <c r="F3" s="2">
        <v>12.0</v>
      </c>
      <c r="G3" s="2">
        <v>5.0</v>
      </c>
      <c r="H3" s="3">
        <f t="shared" si="1"/>
        <v>46096</v>
      </c>
      <c r="I3" s="4">
        <f t="shared" si="2"/>
        <v>46142</v>
      </c>
      <c r="J3" s="2">
        <f t="shared" si="3"/>
        <v>2021</v>
      </c>
      <c r="K3" s="2">
        <f t="shared" si="4"/>
        <v>15</v>
      </c>
      <c r="L3" s="3">
        <f t="shared" si="5"/>
        <v>44900</v>
      </c>
    </row>
    <row r="4" ht="14.25" customHeight="1">
      <c r="A4" s="2">
        <v>3.0</v>
      </c>
      <c r="B4" s="3">
        <v>45369.0</v>
      </c>
      <c r="C4" s="3">
        <v>45381.0</v>
      </c>
      <c r="D4" s="3">
        <v>43991.0</v>
      </c>
      <c r="E4" s="2">
        <v>2024.0</v>
      </c>
      <c r="F4" s="2">
        <v>1.0</v>
      </c>
      <c r="G4" s="2">
        <v>20.0</v>
      </c>
      <c r="H4" s="3">
        <f t="shared" si="1"/>
        <v>46096</v>
      </c>
      <c r="I4" s="4">
        <f t="shared" si="2"/>
        <v>46142</v>
      </c>
      <c r="J4" s="2">
        <f t="shared" si="3"/>
        <v>2020</v>
      </c>
      <c r="K4" s="2">
        <f t="shared" si="4"/>
        <v>12</v>
      </c>
      <c r="L4" s="3">
        <f t="shared" si="5"/>
        <v>45311</v>
      </c>
    </row>
    <row r="5" ht="14.25" customHeight="1">
      <c r="A5" s="2">
        <v>4.0</v>
      </c>
      <c r="B5" s="3">
        <v>45383.0</v>
      </c>
      <c r="C5" s="3">
        <v>45402.0</v>
      </c>
      <c r="D5" s="3">
        <v>43824.0</v>
      </c>
      <c r="E5" s="2">
        <v>2021.0</v>
      </c>
      <c r="F5" s="2">
        <v>9.0</v>
      </c>
      <c r="G5" s="2">
        <v>10.0</v>
      </c>
      <c r="H5" s="3">
        <f t="shared" si="1"/>
        <v>46096</v>
      </c>
      <c r="I5" s="4">
        <f t="shared" si="2"/>
        <v>46142</v>
      </c>
      <c r="J5" s="2">
        <f t="shared" si="3"/>
        <v>2019</v>
      </c>
      <c r="K5" s="2">
        <f t="shared" si="4"/>
        <v>19</v>
      </c>
      <c r="L5" s="3">
        <f t="shared" si="5"/>
        <v>44449</v>
      </c>
    </row>
    <row r="6" ht="14.25" customHeight="1">
      <c r="A6" s="2">
        <v>5.0</v>
      </c>
      <c r="B6" s="3">
        <v>45424.0</v>
      </c>
      <c r="C6" s="3">
        <v>45440.0</v>
      </c>
      <c r="D6" s="3">
        <v>43315.0</v>
      </c>
      <c r="E6" s="2">
        <v>2020.0</v>
      </c>
      <c r="F6" s="2">
        <v>3.0</v>
      </c>
      <c r="G6" s="2">
        <v>8.0</v>
      </c>
      <c r="H6" s="3">
        <f t="shared" si="1"/>
        <v>46096</v>
      </c>
      <c r="I6" s="4">
        <f t="shared" si="2"/>
        <v>46142</v>
      </c>
      <c r="J6" s="2">
        <f t="shared" si="3"/>
        <v>2018</v>
      </c>
      <c r="K6" s="2">
        <f t="shared" si="4"/>
        <v>16</v>
      </c>
      <c r="L6" s="3">
        <f t="shared" si="5"/>
        <v>43898</v>
      </c>
    </row>
    <row r="7" ht="14.25" customHeight="1"/>
    <row r="8" ht="14.25" customHeight="1"/>
    <row r="9" ht="14.25" customHeight="1"/>
    <row r="10" ht="14.25" customHeight="1">
      <c r="A10" s="1" t="s">
        <v>0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17</v>
      </c>
      <c r="H10" s="1" t="s">
        <v>18</v>
      </c>
      <c r="I10" s="1" t="s">
        <v>19</v>
      </c>
      <c r="J10" s="1" t="s">
        <v>20</v>
      </c>
      <c r="K10" s="1" t="s">
        <v>21</v>
      </c>
      <c r="L10" s="1" t="s">
        <v>22</v>
      </c>
      <c r="M10" s="1" t="s">
        <v>23</v>
      </c>
    </row>
    <row r="11" ht="14.25" customHeight="1">
      <c r="A11" s="2">
        <v>1.0</v>
      </c>
      <c r="B11" s="5">
        <v>0.35115740740740736</v>
      </c>
      <c r="C11" s="5">
        <v>0.3333333333333333</v>
      </c>
      <c r="D11" s="5">
        <v>0.4375</v>
      </c>
      <c r="E11" s="2">
        <f t="shared" ref="E11:E15" si="6">HOUR(C11)</f>
        <v>8</v>
      </c>
      <c r="F11" s="2">
        <f t="shared" ref="F11:F15" si="7">MINUTE(C11)</f>
        <v>0</v>
      </c>
      <c r="G11" s="2">
        <f t="shared" ref="G11:G15" si="8">SECOND(C11)</f>
        <v>0</v>
      </c>
      <c r="H11" s="2">
        <v>5.0</v>
      </c>
      <c r="I11" s="2">
        <v>30.0</v>
      </c>
      <c r="J11" s="2">
        <v>20.0</v>
      </c>
      <c r="K11" s="6">
        <f t="shared" ref="K11:K15" si="9">TIME(H11,I11,J11)</f>
        <v>0.2293981481</v>
      </c>
      <c r="L11" s="2" t="str">
        <f t="shared" ref="L11:L15" si="10">TEXT(D11-C11,"h:mm:ss")</f>
        <v>2:30:00</v>
      </c>
      <c r="M11" s="7">
        <f t="shared" ref="M11:M15" si="11">NOW()</f>
        <v>46096.53683</v>
      </c>
    </row>
    <row r="12" ht="14.25" customHeight="1">
      <c r="A12" s="2">
        <v>2.0</v>
      </c>
      <c r="B12" s="5">
        <v>0.5314236111111111</v>
      </c>
      <c r="C12" s="5">
        <v>0.3854166666666667</v>
      </c>
      <c r="D12" s="5">
        <v>0.4930555555555556</v>
      </c>
      <c r="E12" s="2">
        <f t="shared" si="6"/>
        <v>9</v>
      </c>
      <c r="F12" s="2">
        <f t="shared" si="7"/>
        <v>15</v>
      </c>
      <c r="G12" s="2">
        <f t="shared" si="8"/>
        <v>0</v>
      </c>
      <c r="H12" s="2">
        <v>2.0</v>
      </c>
      <c r="I12" s="2">
        <v>15.0</v>
      </c>
      <c r="J12" s="2">
        <v>10.0</v>
      </c>
      <c r="K12" s="6">
        <f t="shared" si="9"/>
        <v>0.09386574074</v>
      </c>
      <c r="L12" s="2" t="str">
        <f t="shared" si="10"/>
        <v>2:35:00</v>
      </c>
      <c r="M12" s="7">
        <f t="shared" si="11"/>
        <v>46096.53683</v>
      </c>
    </row>
    <row r="13" ht="14.25" customHeight="1">
      <c r="A13" s="2">
        <v>3.0</v>
      </c>
      <c r="B13" s="5">
        <v>0.6742476851851852</v>
      </c>
      <c r="C13" s="5">
        <v>0.5833333333333334</v>
      </c>
      <c r="D13" s="5">
        <v>0.7638888888888888</v>
      </c>
      <c r="E13" s="2">
        <f t="shared" si="6"/>
        <v>14</v>
      </c>
      <c r="F13" s="2">
        <f t="shared" si="7"/>
        <v>0</v>
      </c>
      <c r="G13" s="2">
        <f t="shared" si="8"/>
        <v>0</v>
      </c>
      <c r="H13" s="2">
        <v>7.0</v>
      </c>
      <c r="I13" s="2">
        <v>45.0</v>
      </c>
      <c r="J13" s="2">
        <v>35.0</v>
      </c>
      <c r="K13" s="6">
        <f t="shared" si="9"/>
        <v>0.3233217593</v>
      </c>
      <c r="L13" s="2" t="str">
        <f t="shared" si="10"/>
        <v>4:20:00</v>
      </c>
      <c r="M13" s="7">
        <f t="shared" si="11"/>
        <v>46096.53683</v>
      </c>
    </row>
    <row r="14" ht="14.25" customHeight="1">
      <c r="A14" s="2">
        <v>4.0</v>
      </c>
      <c r="B14" s="5">
        <v>0.8788194444444444</v>
      </c>
      <c r="C14" s="5">
        <v>0.8125</v>
      </c>
      <c r="D14" s="5">
        <v>0.9236111111111112</v>
      </c>
      <c r="E14" s="2">
        <f t="shared" si="6"/>
        <v>19</v>
      </c>
      <c r="F14" s="2">
        <f t="shared" si="7"/>
        <v>30</v>
      </c>
      <c r="G14" s="2">
        <f t="shared" si="8"/>
        <v>0</v>
      </c>
      <c r="H14" s="2">
        <v>3.0</v>
      </c>
      <c r="I14" s="2">
        <v>10.0</v>
      </c>
      <c r="J14" s="2">
        <v>50.0</v>
      </c>
      <c r="K14" s="6">
        <f t="shared" si="9"/>
        <v>0.1325231481</v>
      </c>
      <c r="L14" s="2" t="str">
        <f t="shared" si="10"/>
        <v>2:40:00</v>
      </c>
      <c r="M14" s="7">
        <f t="shared" si="11"/>
        <v>46096.53683</v>
      </c>
    </row>
    <row r="15" ht="14.25" customHeight="1">
      <c r="A15" s="2">
        <v>5.0</v>
      </c>
      <c r="B15" s="5">
        <v>0.28825231481481484</v>
      </c>
      <c r="C15" s="5">
        <v>0.2222222222222222</v>
      </c>
      <c r="D15" s="5">
        <v>0.3611111111111111</v>
      </c>
      <c r="E15" s="2">
        <f t="shared" si="6"/>
        <v>5</v>
      </c>
      <c r="F15" s="2">
        <f t="shared" si="7"/>
        <v>20</v>
      </c>
      <c r="G15" s="2">
        <f t="shared" si="8"/>
        <v>0</v>
      </c>
      <c r="H15" s="2">
        <v>9.0</v>
      </c>
      <c r="I15" s="2">
        <v>5.0</v>
      </c>
      <c r="J15" s="2">
        <v>15.0</v>
      </c>
      <c r="K15" s="6">
        <f t="shared" si="9"/>
        <v>0.3786458333</v>
      </c>
      <c r="L15" s="2" t="str">
        <f t="shared" si="10"/>
        <v>3:20:00</v>
      </c>
      <c r="M15" s="7">
        <f t="shared" si="11"/>
        <v>46096.53683</v>
      </c>
    </row>
    <row r="16" ht="14.25" customHeight="1"/>
    <row r="17" ht="14.25" customHeight="1"/>
    <row r="18" ht="14.25" customHeight="1"/>
    <row r="19" ht="14.25" customHeight="1">
      <c r="A19" s="1" t="s">
        <v>0</v>
      </c>
      <c r="B19" s="1" t="s">
        <v>24</v>
      </c>
      <c r="C19" s="1" t="s">
        <v>25</v>
      </c>
      <c r="D19" s="1" t="s">
        <v>26</v>
      </c>
      <c r="E19" s="1" t="s">
        <v>27</v>
      </c>
      <c r="F19" s="1" t="s">
        <v>28</v>
      </c>
      <c r="G19" s="1" t="s">
        <v>29</v>
      </c>
      <c r="H19" s="1" t="s">
        <v>30</v>
      </c>
      <c r="I19" s="1" t="s">
        <v>31</v>
      </c>
      <c r="J19" s="1" t="s">
        <v>32</v>
      </c>
      <c r="K19" s="1" t="s">
        <v>33</v>
      </c>
      <c r="L19" s="1" t="s">
        <v>34</v>
      </c>
    </row>
    <row r="20" ht="14.25" customHeight="1">
      <c r="A20" s="2">
        <v>1.0</v>
      </c>
      <c r="B20" s="2">
        <v>45.6789</v>
      </c>
      <c r="C20" s="2">
        <v>23.45</v>
      </c>
      <c r="D20" s="2">
        <v>4.0</v>
      </c>
      <c r="E20" s="2">
        <v>64.0</v>
      </c>
      <c r="F20" s="2">
        <v>-15.0</v>
      </c>
      <c r="G20" s="2">
        <f t="shared" ref="G20:G24" si="12">ROUND(B20,2)</f>
        <v>45.68</v>
      </c>
      <c r="H20" s="2">
        <f t="shared" ref="H20:H24" si="13">CEILING(B20, 4)</f>
        <v>48</v>
      </c>
      <c r="I20" s="2">
        <f t="shared" ref="I20:I24" si="14">FLOOR(B20, 4)</f>
        <v>44</v>
      </c>
      <c r="J20" s="2">
        <f t="shared" ref="J20:J24" si="15">MOD(C20, D20)</f>
        <v>3.45</v>
      </c>
      <c r="K20" s="2">
        <f t="shared" ref="K20:K24" si="16">SQRT(E20)</f>
        <v>8</v>
      </c>
      <c r="L20" s="2">
        <f t="shared" ref="L20:L24" si="17">ABS(F20)</f>
        <v>15</v>
      </c>
    </row>
    <row r="21" ht="14.25" customHeight="1">
      <c r="A21" s="2">
        <v>2.0</v>
      </c>
      <c r="B21" s="2">
        <v>12.3456</v>
      </c>
      <c r="C21" s="2">
        <v>78.12</v>
      </c>
      <c r="D21" s="2">
        <v>5.0</v>
      </c>
      <c r="E21" s="2">
        <v>81.0</v>
      </c>
      <c r="F21" s="2">
        <v>-28.0</v>
      </c>
      <c r="G21" s="2">
        <f t="shared" si="12"/>
        <v>12.35</v>
      </c>
      <c r="H21" s="2">
        <f t="shared" si="13"/>
        <v>16</v>
      </c>
      <c r="I21" s="2">
        <f t="shared" si="14"/>
        <v>12</v>
      </c>
      <c r="J21" s="2">
        <f t="shared" si="15"/>
        <v>3.12</v>
      </c>
      <c r="K21" s="2">
        <f t="shared" si="16"/>
        <v>9</v>
      </c>
      <c r="L21" s="2">
        <f t="shared" si="17"/>
        <v>28</v>
      </c>
    </row>
    <row r="22" ht="14.25" customHeight="1">
      <c r="A22" s="2">
        <v>3.0</v>
      </c>
      <c r="B22" s="2">
        <v>98.7654</v>
      </c>
      <c r="C22" s="2">
        <v>34.67</v>
      </c>
      <c r="D22" s="2">
        <v>6.0</v>
      </c>
      <c r="E22" s="2">
        <v>49.0</v>
      </c>
      <c r="F22" s="2">
        <v>-7.0</v>
      </c>
      <c r="G22" s="2">
        <f t="shared" si="12"/>
        <v>98.77</v>
      </c>
      <c r="H22" s="2">
        <f t="shared" si="13"/>
        <v>100</v>
      </c>
      <c r="I22" s="2">
        <f t="shared" si="14"/>
        <v>96</v>
      </c>
      <c r="J22" s="2">
        <f t="shared" si="15"/>
        <v>4.67</v>
      </c>
      <c r="K22" s="2">
        <f t="shared" si="16"/>
        <v>7</v>
      </c>
      <c r="L22" s="2">
        <f t="shared" si="17"/>
        <v>7</v>
      </c>
    </row>
    <row r="23" ht="14.25" customHeight="1">
      <c r="A23" s="2">
        <v>4.0</v>
      </c>
      <c r="B23" s="2">
        <v>56.2391</v>
      </c>
      <c r="C23" s="2">
        <v>91.83</v>
      </c>
      <c r="D23" s="2">
        <v>3.0</v>
      </c>
      <c r="E23" s="2">
        <v>100.0</v>
      </c>
      <c r="F23" s="2">
        <v>-42.0</v>
      </c>
      <c r="G23" s="2">
        <f t="shared" si="12"/>
        <v>56.24</v>
      </c>
      <c r="H23" s="2">
        <f t="shared" si="13"/>
        <v>60</v>
      </c>
      <c r="I23" s="2">
        <f t="shared" si="14"/>
        <v>56</v>
      </c>
      <c r="J23" s="2">
        <f t="shared" si="15"/>
        <v>1.83</v>
      </c>
      <c r="K23" s="2">
        <f t="shared" si="16"/>
        <v>10</v>
      </c>
      <c r="L23" s="2">
        <f t="shared" si="17"/>
        <v>42</v>
      </c>
    </row>
    <row r="24" ht="14.25" customHeight="1">
      <c r="A24" s="2">
        <v>5.0</v>
      </c>
      <c r="B24" s="2">
        <v>77.8912</v>
      </c>
      <c r="C24" s="2">
        <v>65.29</v>
      </c>
      <c r="D24" s="2">
        <v>8.0</v>
      </c>
      <c r="E24" s="2">
        <v>144.0</v>
      </c>
      <c r="F24" s="2">
        <v>-9.0</v>
      </c>
      <c r="G24" s="2">
        <f t="shared" si="12"/>
        <v>77.89</v>
      </c>
      <c r="H24" s="2">
        <f t="shared" si="13"/>
        <v>80</v>
      </c>
      <c r="I24" s="2">
        <f t="shared" si="14"/>
        <v>76</v>
      </c>
      <c r="J24" s="2">
        <f t="shared" si="15"/>
        <v>1.29</v>
      </c>
      <c r="K24" s="2">
        <f t="shared" si="16"/>
        <v>12</v>
      </c>
      <c r="L24" s="2">
        <f t="shared" si="17"/>
        <v>9</v>
      </c>
    </row>
    <row r="25" ht="14.25" customHeight="1"/>
    <row r="26" ht="14.25" customHeight="1"/>
    <row r="27" ht="14.25" customHeight="1"/>
    <row r="28" ht="14.25" customHeight="1">
      <c r="A28" s="8" t="s">
        <v>0</v>
      </c>
      <c r="B28" s="8" t="s">
        <v>35</v>
      </c>
      <c r="C28" s="8" t="s">
        <v>36</v>
      </c>
      <c r="D28" s="8" t="s">
        <v>37</v>
      </c>
      <c r="E28" s="8" t="s">
        <v>38</v>
      </c>
      <c r="F28" s="9" t="s">
        <v>39</v>
      </c>
      <c r="G28" s="9" t="s">
        <v>40</v>
      </c>
      <c r="L28" s="10" t="s">
        <v>41</v>
      </c>
    </row>
    <row r="29" ht="14.25" customHeight="1">
      <c r="A29" s="11">
        <v>1.0</v>
      </c>
      <c r="B29" s="11" t="s">
        <v>42</v>
      </c>
      <c r="C29" s="11" t="s">
        <v>43</v>
      </c>
      <c r="D29" s="11">
        <v>800.0</v>
      </c>
      <c r="E29" s="11">
        <v>120.0</v>
      </c>
      <c r="F29" s="11">
        <f>IFERROR(__xludf.DUMMYFUNCTION("FILTER(E29:E38,E29:E38&gt;50)"),120.0)</f>
        <v>120</v>
      </c>
      <c r="G29" s="12">
        <f>IFERROR(__xludf.DUMMYFUNCTION("FILTER(A29:E38,E29:E38&gt;80)"),1.0)</f>
        <v>1</v>
      </c>
      <c r="H29" s="12" t="str">
        <f>IFERROR(__xludf.DUMMYFUNCTION("""COMPUTED_VALUE"""),"Laptop")</f>
        <v>Laptop</v>
      </c>
      <c r="I29" s="13" t="str">
        <f>IFERROR(__xludf.DUMMYFUNCTION("""COMPUTED_VALUE"""),"Electronics")</f>
        <v>Electronics</v>
      </c>
      <c r="J29" s="13">
        <f>IFERROR(__xludf.DUMMYFUNCTION("""COMPUTED_VALUE"""),800.0)</f>
        <v>800</v>
      </c>
      <c r="K29" s="13">
        <f>IFERROR(__xludf.DUMMYFUNCTION("""COMPUTED_VALUE"""),120.0)</f>
        <v>120</v>
      </c>
      <c r="L29" s="13">
        <f>IFERROR(__xludf.DUMMYFUNCTION("FILTER(A29:E38,C29:C38=""Electronics"")"),1.0)</f>
        <v>1</v>
      </c>
      <c r="M29" s="13" t="str">
        <f>IFERROR(__xludf.DUMMYFUNCTION("""COMPUTED_VALUE"""),"Laptop")</f>
        <v>Laptop</v>
      </c>
      <c r="N29" s="13" t="str">
        <f>IFERROR(__xludf.DUMMYFUNCTION("""COMPUTED_VALUE"""),"Electronics")</f>
        <v>Electronics</v>
      </c>
      <c r="O29" s="13">
        <f>IFERROR(__xludf.DUMMYFUNCTION("""COMPUTED_VALUE"""),800.0)</f>
        <v>800</v>
      </c>
      <c r="P29" s="13">
        <f>IFERROR(__xludf.DUMMYFUNCTION("""COMPUTED_VALUE"""),120.0)</f>
        <v>120</v>
      </c>
    </row>
    <row r="30" ht="14.25" customHeight="1">
      <c r="A30" s="14">
        <v>2.0</v>
      </c>
      <c r="B30" s="14" t="s">
        <v>44</v>
      </c>
      <c r="C30" s="14" t="s">
        <v>43</v>
      </c>
      <c r="D30" s="14">
        <v>600.0</v>
      </c>
      <c r="E30" s="14">
        <v>95.0</v>
      </c>
      <c r="F30" s="14">
        <f>IFERROR(__xludf.DUMMYFUNCTION("""COMPUTED_VALUE"""),95.0)</f>
        <v>95</v>
      </c>
      <c r="G30" s="15">
        <f>IFERROR(__xludf.DUMMYFUNCTION("""COMPUTED_VALUE"""),2.0)</f>
        <v>2</v>
      </c>
      <c r="H30" s="15" t="str">
        <f>IFERROR(__xludf.DUMMYFUNCTION("""COMPUTED_VALUE"""),"Phone")</f>
        <v>Phone</v>
      </c>
      <c r="I30" s="13" t="str">
        <f>IFERROR(__xludf.DUMMYFUNCTION("""COMPUTED_VALUE"""),"Electronics")</f>
        <v>Electronics</v>
      </c>
      <c r="J30" s="13">
        <f>IFERROR(__xludf.DUMMYFUNCTION("""COMPUTED_VALUE"""),600.0)</f>
        <v>600</v>
      </c>
      <c r="K30" s="13">
        <f>IFERROR(__xludf.DUMMYFUNCTION("""COMPUTED_VALUE"""),95.0)</f>
        <v>95</v>
      </c>
      <c r="L30" s="13">
        <f>IFERROR(__xludf.DUMMYFUNCTION("""COMPUTED_VALUE"""),2.0)</f>
        <v>2</v>
      </c>
      <c r="M30" s="13" t="str">
        <f>IFERROR(__xludf.DUMMYFUNCTION("""COMPUTED_VALUE"""),"Phone")</f>
        <v>Phone</v>
      </c>
      <c r="N30" s="13" t="str">
        <f>IFERROR(__xludf.DUMMYFUNCTION("""COMPUTED_VALUE"""),"Electronics")</f>
        <v>Electronics</v>
      </c>
      <c r="O30" s="13">
        <f>IFERROR(__xludf.DUMMYFUNCTION("""COMPUTED_VALUE"""),600.0)</f>
        <v>600</v>
      </c>
      <c r="P30" s="13">
        <f>IFERROR(__xludf.DUMMYFUNCTION("""COMPUTED_VALUE"""),95.0)</f>
        <v>95</v>
      </c>
    </row>
    <row r="31" ht="14.25" customHeight="1">
      <c r="A31" s="11">
        <v>3.0</v>
      </c>
      <c r="B31" s="11" t="s">
        <v>45</v>
      </c>
      <c r="C31" s="11" t="s">
        <v>43</v>
      </c>
      <c r="D31" s="11">
        <v>120.0</v>
      </c>
      <c r="E31" s="11">
        <v>40.0</v>
      </c>
      <c r="F31" s="11">
        <f>IFERROR(__xludf.DUMMYFUNCTION("""COMPUTED_VALUE"""),60.0)</f>
        <v>60</v>
      </c>
      <c r="G31" s="12">
        <f>IFERROR(__xludf.DUMMYFUNCTION("""COMPUTED_VALUE"""),5.0)</f>
        <v>5</v>
      </c>
      <c r="H31" s="12" t="str">
        <f>IFERROR(__xludf.DUMMYFUNCTION("""COMPUTED_VALUE"""),"Notebook")</f>
        <v>Notebook</v>
      </c>
      <c r="I31" s="13" t="str">
        <f>IFERROR(__xludf.DUMMYFUNCTION("""COMPUTED_VALUE"""),"Stationery")</f>
        <v>Stationery</v>
      </c>
      <c r="J31" s="13">
        <f>IFERROR(__xludf.DUMMYFUNCTION("""COMPUTED_VALUE"""),10.0)</f>
        <v>10</v>
      </c>
      <c r="K31" s="13">
        <f>IFERROR(__xludf.DUMMYFUNCTION("""COMPUTED_VALUE"""),200.0)</f>
        <v>200</v>
      </c>
      <c r="L31" s="13">
        <f>IFERROR(__xludf.DUMMYFUNCTION("""COMPUTED_VALUE"""),3.0)</f>
        <v>3</v>
      </c>
      <c r="M31" s="13" t="str">
        <f>IFERROR(__xludf.DUMMYFUNCTION("""COMPUTED_VALUE"""),"Headphones")</f>
        <v>Headphones</v>
      </c>
      <c r="N31" s="13" t="str">
        <f>IFERROR(__xludf.DUMMYFUNCTION("""COMPUTED_VALUE"""),"Electronics")</f>
        <v>Electronics</v>
      </c>
      <c r="O31" s="13">
        <f>IFERROR(__xludf.DUMMYFUNCTION("""COMPUTED_VALUE"""),120.0)</f>
        <v>120</v>
      </c>
      <c r="P31" s="13">
        <f>IFERROR(__xludf.DUMMYFUNCTION("""COMPUTED_VALUE"""),40.0)</f>
        <v>40</v>
      </c>
    </row>
    <row r="32" ht="14.25" customHeight="1">
      <c r="A32" s="14">
        <v>4.0</v>
      </c>
      <c r="B32" s="14" t="s">
        <v>46</v>
      </c>
      <c r="C32" s="14" t="s">
        <v>47</v>
      </c>
      <c r="D32" s="14">
        <v>150.0</v>
      </c>
      <c r="E32" s="14">
        <v>60.0</v>
      </c>
      <c r="F32" s="14">
        <f>IFERROR(__xludf.DUMMYFUNCTION("""COMPUTED_VALUE"""),200.0)</f>
        <v>200</v>
      </c>
      <c r="G32" s="15">
        <f>IFERROR(__xludf.DUMMYFUNCTION("""COMPUTED_VALUE"""),10.0)</f>
        <v>10</v>
      </c>
      <c r="H32" s="15" t="str">
        <f>IFERROR(__xludf.DUMMYFUNCTION("""COMPUTED_VALUE"""),"Printer")</f>
        <v>Printer</v>
      </c>
      <c r="I32" s="13" t="str">
        <f>IFERROR(__xludf.DUMMYFUNCTION("""COMPUTED_VALUE"""),"Electronics")</f>
        <v>Electronics</v>
      </c>
      <c r="J32" s="13">
        <f>IFERROR(__xludf.DUMMYFUNCTION("""COMPUTED_VALUE"""),180.0)</f>
        <v>180</v>
      </c>
      <c r="K32" s="13">
        <f>IFERROR(__xludf.DUMMYFUNCTION("""COMPUTED_VALUE"""),85.0)</f>
        <v>85</v>
      </c>
      <c r="L32" s="13">
        <f>IFERROR(__xludf.DUMMYFUNCTION("""COMPUTED_VALUE"""),6.0)</f>
        <v>6</v>
      </c>
      <c r="M32" s="13" t="str">
        <f>IFERROR(__xludf.DUMMYFUNCTION("""COMPUTED_VALUE"""),"Tablet")</f>
        <v>Tablet</v>
      </c>
      <c r="N32" s="13" t="str">
        <f>IFERROR(__xludf.DUMMYFUNCTION("""COMPUTED_VALUE"""),"Electronics")</f>
        <v>Electronics</v>
      </c>
      <c r="O32" s="13">
        <f>IFERROR(__xludf.DUMMYFUNCTION("""COMPUTED_VALUE"""),300.0)</f>
        <v>300</v>
      </c>
      <c r="P32" s="13">
        <f>IFERROR(__xludf.DUMMYFUNCTION("""COMPUTED_VALUE"""),75.0)</f>
        <v>75</v>
      </c>
    </row>
    <row r="33" ht="14.25" customHeight="1">
      <c r="A33" s="11">
        <v>5.0</v>
      </c>
      <c r="B33" s="11" t="s">
        <v>48</v>
      </c>
      <c r="C33" s="11" t="s">
        <v>49</v>
      </c>
      <c r="D33" s="11">
        <v>10.0</v>
      </c>
      <c r="E33" s="11">
        <v>200.0</v>
      </c>
      <c r="F33" s="11">
        <f>IFERROR(__xludf.DUMMYFUNCTION("""COMPUTED_VALUE"""),75.0)</f>
        <v>75</v>
      </c>
      <c r="G33" s="12"/>
      <c r="H33" s="12"/>
      <c r="L33" s="13">
        <f>IFERROR(__xludf.DUMMYFUNCTION("""COMPUTED_VALUE"""),8.0)</f>
        <v>8</v>
      </c>
      <c r="M33" s="13" t="str">
        <f>IFERROR(__xludf.DUMMYFUNCTION("""COMPUTED_VALUE"""),"Monitor")</f>
        <v>Monitor</v>
      </c>
      <c r="N33" s="13" t="str">
        <f>IFERROR(__xludf.DUMMYFUNCTION("""COMPUTED_VALUE"""),"Electronics")</f>
        <v>Electronics</v>
      </c>
      <c r="O33" s="13">
        <f>IFERROR(__xludf.DUMMYFUNCTION("""COMPUTED_VALUE"""),220.0)</f>
        <v>220</v>
      </c>
      <c r="P33" s="13">
        <f>IFERROR(__xludf.DUMMYFUNCTION("""COMPUTED_VALUE"""),55.0)</f>
        <v>55</v>
      </c>
    </row>
    <row r="34" ht="14.25" customHeight="1">
      <c r="A34" s="14">
        <v>6.0</v>
      </c>
      <c r="B34" s="14" t="s">
        <v>50</v>
      </c>
      <c r="C34" s="14" t="s">
        <v>43</v>
      </c>
      <c r="D34" s="14">
        <v>300.0</v>
      </c>
      <c r="E34" s="14">
        <v>75.0</v>
      </c>
      <c r="F34" s="16">
        <f>IFERROR(__xludf.DUMMYFUNCTION("""COMPUTED_VALUE"""),55.0)</f>
        <v>55</v>
      </c>
      <c r="G34" s="17"/>
      <c r="H34" s="17"/>
      <c r="L34" s="13">
        <f>IFERROR(__xludf.DUMMYFUNCTION("""COMPUTED_VALUE"""),10.0)</f>
        <v>10</v>
      </c>
      <c r="M34" s="13" t="str">
        <f>IFERROR(__xludf.DUMMYFUNCTION("""COMPUTED_VALUE"""),"Printer")</f>
        <v>Printer</v>
      </c>
      <c r="N34" s="13" t="str">
        <f>IFERROR(__xludf.DUMMYFUNCTION("""COMPUTED_VALUE"""),"Electronics")</f>
        <v>Electronics</v>
      </c>
      <c r="O34" s="13">
        <f>IFERROR(__xludf.DUMMYFUNCTION("""COMPUTED_VALUE"""),180.0)</f>
        <v>180</v>
      </c>
      <c r="P34" s="13">
        <f>IFERROR(__xludf.DUMMYFUNCTION("""COMPUTED_VALUE"""),85.0)</f>
        <v>85</v>
      </c>
    </row>
    <row r="35" ht="14.25" customHeight="1">
      <c r="A35" s="11">
        <v>7.0</v>
      </c>
      <c r="B35" s="11" t="s">
        <v>51</v>
      </c>
      <c r="C35" s="11" t="s">
        <v>49</v>
      </c>
      <c r="D35" s="11">
        <v>15.0</v>
      </c>
      <c r="E35" s="11">
        <v>45.0</v>
      </c>
      <c r="F35" s="11">
        <f>IFERROR(__xludf.DUMMYFUNCTION("""COMPUTED_VALUE"""),85.0)</f>
        <v>85</v>
      </c>
      <c r="G35" s="12"/>
      <c r="H35" s="18" t="s">
        <v>52</v>
      </c>
    </row>
    <row r="36" ht="14.25" customHeight="1">
      <c r="A36" s="14">
        <v>8.0</v>
      </c>
      <c r="B36" s="14" t="s">
        <v>53</v>
      </c>
      <c r="C36" s="14" t="s">
        <v>43</v>
      </c>
      <c r="D36" s="14">
        <v>220.0</v>
      </c>
      <c r="E36" s="14">
        <v>55.0</v>
      </c>
      <c r="F36" s="14"/>
      <c r="G36" s="15"/>
      <c r="H36" s="15">
        <f>IFERROR(__xludf.DUMMYFUNCTION("SORT(FILTER(A29:E38,C29:C38=""Electronics""),4,1)"),3.0)</f>
        <v>3</v>
      </c>
      <c r="I36" s="13" t="str">
        <f>IFERROR(__xludf.DUMMYFUNCTION("""COMPUTED_VALUE"""),"Headphones")</f>
        <v>Headphones</v>
      </c>
      <c r="J36" s="13" t="str">
        <f>IFERROR(__xludf.DUMMYFUNCTION("""COMPUTED_VALUE"""),"Electronics")</f>
        <v>Electronics</v>
      </c>
      <c r="K36" s="13">
        <f>IFERROR(__xludf.DUMMYFUNCTION("""COMPUTED_VALUE"""),120.0)</f>
        <v>120</v>
      </c>
      <c r="L36" s="13">
        <f>IFERROR(__xludf.DUMMYFUNCTION("""COMPUTED_VALUE"""),40.0)</f>
        <v>40</v>
      </c>
    </row>
    <row r="37" ht="14.25" customHeight="1">
      <c r="A37" s="11">
        <v>9.0</v>
      </c>
      <c r="B37" s="11" t="s">
        <v>54</v>
      </c>
      <c r="C37" s="11" t="s">
        <v>47</v>
      </c>
      <c r="D37" s="11">
        <v>900.0</v>
      </c>
      <c r="E37" s="11">
        <v>30.0</v>
      </c>
      <c r="F37" s="11"/>
      <c r="G37" s="12"/>
      <c r="H37" s="12">
        <f>IFERROR(__xludf.DUMMYFUNCTION("""COMPUTED_VALUE"""),10.0)</f>
        <v>10</v>
      </c>
      <c r="I37" s="13" t="str">
        <f>IFERROR(__xludf.DUMMYFUNCTION("""COMPUTED_VALUE"""),"Printer")</f>
        <v>Printer</v>
      </c>
      <c r="J37" s="13" t="str">
        <f>IFERROR(__xludf.DUMMYFUNCTION("""COMPUTED_VALUE"""),"Electronics")</f>
        <v>Electronics</v>
      </c>
      <c r="K37" s="13">
        <f>IFERROR(__xludf.DUMMYFUNCTION("""COMPUTED_VALUE"""),180.0)</f>
        <v>180</v>
      </c>
      <c r="L37" s="13">
        <f>IFERROR(__xludf.DUMMYFUNCTION("""COMPUTED_VALUE"""),85.0)</f>
        <v>85</v>
      </c>
    </row>
    <row r="38" ht="14.25" customHeight="1">
      <c r="A38" s="14">
        <v>10.0</v>
      </c>
      <c r="B38" s="14" t="s">
        <v>55</v>
      </c>
      <c r="C38" s="14" t="s">
        <v>43</v>
      </c>
      <c r="D38" s="14">
        <v>180.0</v>
      </c>
      <c r="E38" s="14">
        <v>85.0</v>
      </c>
      <c r="F38" s="14"/>
      <c r="G38" s="15"/>
      <c r="H38" s="15">
        <f>IFERROR(__xludf.DUMMYFUNCTION("""COMPUTED_VALUE"""),8.0)</f>
        <v>8</v>
      </c>
      <c r="I38" s="13" t="str">
        <f>IFERROR(__xludf.DUMMYFUNCTION("""COMPUTED_VALUE"""),"Monitor")</f>
        <v>Monitor</v>
      </c>
      <c r="J38" s="13" t="str">
        <f>IFERROR(__xludf.DUMMYFUNCTION("""COMPUTED_VALUE"""),"Electronics")</f>
        <v>Electronics</v>
      </c>
      <c r="K38" s="13">
        <f>IFERROR(__xludf.DUMMYFUNCTION("""COMPUTED_VALUE"""),220.0)</f>
        <v>220</v>
      </c>
      <c r="L38" s="13">
        <f>IFERROR(__xludf.DUMMYFUNCTION("""COMPUTED_VALUE"""),55.0)</f>
        <v>55</v>
      </c>
    </row>
    <row r="39" ht="14.25" customHeight="1">
      <c r="H39" s="13">
        <f>IFERROR(__xludf.DUMMYFUNCTION("""COMPUTED_VALUE"""),6.0)</f>
        <v>6</v>
      </c>
      <c r="I39" s="13" t="str">
        <f>IFERROR(__xludf.DUMMYFUNCTION("""COMPUTED_VALUE"""),"Tablet")</f>
        <v>Tablet</v>
      </c>
      <c r="J39" s="13" t="str">
        <f>IFERROR(__xludf.DUMMYFUNCTION("""COMPUTED_VALUE"""),"Electronics")</f>
        <v>Electronics</v>
      </c>
      <c r="K39" s="13">
        <f>IFERROR(__xludf.DUMMYFUNCTION("""COMPUTED_VALUE"""),300.0)</f>
        <v>300</v>
      </c>
      <c r="L39" s="13">
        <f>IFERROR(__xludf.DUMMYFUNCTION("""COMPUTED_VALUE"""),75.0)</f>
        <v>75</v>
      </c>
    </row>
    <row r="40" ht="14.25" customHeight="1">
      <c r="H40" s="13">
        <f>IFERROR(__xludf.DUMMYFUNCTION("""COMPUTED_VALUE"""),2.0)</f>
        <v>2</v>
      </c>
      <c r="I40" s="13" t="str">
        <f>IFERROR(__xludf.DUMMYFUNCTION("""COMPUTED_VALUE"""),"Phone")</f>
        <v>Phone</v>
      </c>
      <c r="J40" s="13" t="str">
        <f>IFERROR(__xludf.DUMMYFUNCTION("""COMPUTED_VALUE"""),"Electronics")</f>
        <v>Electronics</v>
      </c>
      <c r="K40" s="13">
        <f>IFERROR(__xludf.DUMMYFUNCTION("""COMPUTED_VALUE"""),600.0)</f>
        <v>600</v>
      </c>
      <c r="L40" s="13">
        <f>IFERROR(__xludf.DUMMYFUNCTION("""COMPUTED_VALUE"""),95.0)</f>
        <v>95</v>
      </c>
    </row>
    <row r="41" ht="14.25" customHeight="1">
      <c r="H41" s="13">
        <f>IFERROR(__xludf.DUMMYFUNCTION("""COMPUTED_VALUE"""),1.0)</f>
        <v>1</v>
      </c>
      <c r="I41" s="13" t="str">
        <f>IFERROR(__xludf.DUMMYFUNCTION("""COMPUTED_VALUE"""),"Laptop")</f>
        <v>Laptop</v>
      </c>
      <c r="J41" s="13" t="str">
        <f>IFERROR(__xludf.DUMMYFUNCTION("""COMPUTED_VALUE"""),"Electronics")</f>
        <v>Electronics</v>
      </c>
      <c r="K41" s="13">
        <f>IFERROR(__xludf.DUMMYFUNCTION("""COMPUTED_VALUE"""),800.0)</f>
        <v>800</v>
      </c>
      <c r="L41" s="13">
        <f>IFERROR(__xludf.DUMMYFUNCTION("""COMPUTED_VALUE"""),120.0)</f>
        <v>120</v>
      </c>
    </row>
    <row r="42" ht="14.25" customHeight="1"/>
    <row r="43" ht="14.25" customHeight="1">
      <c r="D43" s="19" t="s">
        <v>56</v>
      </c>
    </row>
    <row r="44" ht="14.25" customHeight="1">
      <c r="D44" s="13">
        <f>IFERROR(__xludf.DUMMYFUNCTION("FILTER(A29:E38,(D29:D38&gt;100)*(C29:C38=""Electronics""))"),1.0)</f>
        <v>1</v>
      </c>
      <c r="E44" s="13" t="str">
        <f>IFERROR(__xludf.DUMMYFUNCTION("""COMPUTED_VALUE"""),"Laptop")</f>
        <v>Laptop</v>
      </c>
      <c r="F44" s="13" t="str">
        <f>IFERROR(__xludf.DUMMYFUNCTION("""COMPUTED_VALUE"""),"Electronics")</f>
        <v>Electronics</v>
      </c>
      <c r="G44" s="13">
        <f>IFERROR(__xludf.DUMMYFUNCTION("""COMPUTED_VALUE"""),800.0)</f>
        <v>800</v>
      </c>
      <c r="H44" s="13">
        <f>IFERROR(__xludf.DUMMYFUNCTION("""COMPUTED_VALUE"""),120.0)</f>
        <v>120</v>
      </c>
    </row>
    <row r="45" ht="14.25" customHeight="1">
      <c r="D45" s="13">
        <f>IFERROR(__xludf.DUMMYFUNCTION("""COMPUTED_VALUE"""),2.0)</f>
        <v>2</v>
      </c>
      <c r="E45" s="13" t="str">
        <f>IFERROR(__xludf.DUMMYFUNCTION("""COMPUTED_VALUE"""),"Phone")</f>
        <v>Phone</v>
      </c>
      <c r="F45" s="13" t="str">
        <f>IFERROR(__xludf.DUMMYFUNCTION("""COMPUTED_VALUE"""),"Electronics")</f>
        <v>Electronics</v>
      </c>
      <c r="G45" s="13">
        <f>IFERROR(__xludf.DUMMYFUNCTION("""COMPUTED_VALUE"""),600.0)</f>
        <v>600</v>
      </c>
      <c r="H45" s="13">
        <f>IFERROR(__xludf.DUMMYFUNCTION("""COMPUTED_VALUE"""),95.0)</f>
        <v>95</v>
      </c>
    </row>
    <row r="46" ht="14.25" customHeight="1">
      <c r="D46" s="13">
        <f>IFERROR(__xludf.DUMMYFUNCTION("""COMPUTED_VALUE"""),3.0)</f>
        <v>3</v>
      </c>
      <c r="E46" s="13" t="str">
        <f>IFERROR(__xludf.DUMMYFUNCTION("""COMPUTED_VALUE"""),"Headphones")</f>
        <v>Headphones</v>
      </c>
      <c r="F46" s="13" t="str">
        <f>IFERROR(__xludf.DUMMYFUNCTION("""COMPUTED_VALUE"""),"Electronics")</f>
        <v>Electronics</v>
      </c>
      <c r="G46" s="13">
        <f>IFERROR(__xludf.DUMMYFUNCTION("""COMPUTED_VALUE"""),120.0)</f>
        <v>120</v>
      </c>
      <c r="H46" s="13">
        <f>IFERROR(__xludf.DUMMYFUNCTION("""COMPUTED_VALUE"""),40.0)</f>
        <v>40</v>
      </c>
    </row>
    <row r="47" ht="14.25" customHeight="1">
      <c r="D47" s="13">
        <f>IFERROR(__xludf.DUMMYFUNCTION("""COMPUTED_VALUE"""),6.0)</f>
        <v>6</v>
      </c>
      <c r="E47" s="13" t="str">
        <f>IFERROR(__xludf.DUMMYFUNCTION("""COMPUTED_VALUE"""),"Tablet")</f>
        <v>Tablet</v>
      </c>
      <c r="F47" s="13" t="str">
        <f>IFERROR(__xludf.DUMMYFUNCTION("""COMPUTED_VALUE"""),"Electronics")</f>
        <v>Electronics</v>
      </c>
      <c r="G47" s="13">
        <f>IFERROR(__xludf.DUMMYFUNCTION("""COMPUTED_VALUE"""),300.0)</f>
        <v>300</v>
      </c>
      <c r="H47" s="13">
        <f>IFERROR(__xludf.DUMMYFUNCTION("""COMPUTED_VALUE"""),75.0)</f>
        <v>75</v>
      </c>
    </row>
    <row r="48" ht="14.25" customHeight="1">
      <c r="D48" s="13">
        <f>IFERROR(__xludf.DUMMYFUNCTION("""COMPUTED_VALUE"""),8.0)</f>
        <v>8</v>
      </c>
      <c r="E48" s="13" t="str">
        <f>IFERROR(__xludf.DUMMYFUNCTION("""COMPUTED_VALUE"""),"Monitor")</f>
        <v>Monitor</v>
      </c>
      <c r="F48" s="13" t="str">
        <f>IFERROR(__xludf.DUMMYFUNCTION("""COMPUTED_VALUE"""),"Electronics")</f>
        <v>Electronics</v>
      </c>
      <c r="G48" s="13">
        <f>IFERROR(__xludf.DUMMYFUNCTION("""COMPUTED_VALUE"""),220.0)</f>
        <v>220</v>
      </c>
      <c r="H48" s="13">
        <f>IFERROR(__xludf.DUMMYFUNCTION("""COMPUTED_VALUE"""),55.0)</f>
        <v>55</v>
      </c>
    </row>
    <row r="49" ht="14.25" customHeight="1">
      <c r="D49" s="13">
        <f>IFERROR(__xludf.DUMMYFUNCTION("""COMPUTED_VALUE"""),10.0)</f>
        <v>10</v>
      </c>
      <c r="E49" s="13" t="str">
        <f>IFERROR(__xludf.DUMMYFUNCTION("""COMPUTED_VALUE"""),"Printer")</f>
        <v>Printer</v>
      </c>
      <c r="F49" s="13" t="str">
        <f>IFERROR(__xludf.DUMMYFUNCTION("""COMPUTED_VALUE"""),"Electronics")</f>
        <v>Electronics</v>
      </c>
      <c r="G49" s="13">
        <f>IFERROR(__xludf.DUMMYFUNCTION("""COMPUTED_VALUE"""),180.0)</f>
        <v>180</v>
      </c>
      <c r="H49" s="13">
        <f>IFERROR(__xludf.DUMMYFUNCTION("""COMPUTED_VALUE"""),85.0)</f>
        <v>85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G28:K28"/>
    <mergeCell ref="L28:P28"/>
    <mergeCell ref="H35:L35"/>
    <mergeCell ref="D43:H43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
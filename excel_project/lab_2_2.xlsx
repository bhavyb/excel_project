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23040" windowHeight="9156" activeTab="2"/>
  </bookViews>
  <sheets>
    <sheet name="VLOOKUP" sheetId="1" r:id="rId1"/>
    <sheet name="HLOOKUP" sheetId="2" r:id="rId2"/>
    <sheet name="IndexAndMatc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3" l="1"/>
  <c r="L3" i="3"/>
  <c r="M4" i="3"/>
  <c r="M3" i="3"/>
  <c r="P2" i="3"/>
  <c r="P3" i="3"/>
  <c r="P4" i="3"/>
  <c r="P5" i="3"/>
  <c r="P6" i="3"/>
  <c r="O2" i="3"/>
  <c r="N2" i="3"/>
  <c r="O3" i="3"/>
  <c r="O4" i="3"/>
  <c r="O5" i="3"/>
  <c r="O6" i="3"/>
  <c r="N3" i="3"/>
  <c r="N4" i="3"/>
  <c r="N5" i="3"/>
  <c r="N6" i="3"/>
  <c r="M2" i="3"/>
  <c r="M6" i="3"/>
  <c r="M5" i="3"/>
  <c r="L6" i="3"/>
  <c r="L5" i="3"/>
  <c r="L4" i="3"/>
  <c r="H10" i="2" l="1"/>
  <c r="H8" i="2"/>
  <c r="H6" i="2"/>
  <c r="H4" i="2"/>
  <c r="H2" i="2"/>
  <c r="Q20" i="1"/>
  <c r="Q21" i="1"/>
  <c r="Q22" i="1"/>
  <c r="Q23" i="1"/>
  <c r="Q24" i="1"/>
  <c r="P20" i="1"/>
  <c r="P21" i="1"/>
  <c r="P22" i="1"/>
  <c r="P23" i="1"/>
  <c r="P24" i="1"/>
  <c r="O20" i="1"/>
  <c r="O21" i="1"/>
  <c r="O22" i="1"/>
  <c r="O23" i="1"/>
  <c r="O24" i="1"/>
  <c r="N20" i="1"/>
  <c r="N21" i="1"/>
  <c r="N22" i="1"/>
  <c r="N23" i="1"/>
  <c r="N24" i="1"/>
  <c r="M20" i="1"/>
  <c r="M21" i="1" l="1"/>
  <c r="M22" i="1"/>
  <c r="M23" i="1"/>
  <c r="M24" i="1"/>
  <c r="M4" i="1"/>
  <c r="M9" i="1"/>
  <c r="M10" i="1"/>
  <c r="M11" i="1"/>
  <c r="M12" i="1"/>
  <c r="M13" i="1"/>
  <c r="M14" i="1"/>
  <c r="M15" i="1"/>
  <c r="J2" i="1"/>
  <c r="J3" i="1"/>
  <c r="J4" i="1"/>
  <c r="J5" i="1"/>
  <c r="J6" i="1"/>
  <c r="J7" i="1"/>
  <c r="J8" i="1"/>
  <c r="J9" i="1"/>
  <c r="J10" i="1"/>
  <c r="J11" i="1"/>
  <c r="J12" i="1"/>
  <c r="J13" i="1"/>
  <c r="I2" i="1"/>
  <c r="I3" i="1" l="1"/>
  <c r="I4" i="1"/>
  <c r="I5" i="1"/>
  <c r="I6" i="1"/>
  <c r="I7" i="1"/>
  <c r="I8" i="1"/>
  <c r="I9" i="1"/>
  <c r="I10" i="1"/>
  <c r="I11" i="1"/>
  <c r="I12" i="1"/>
  <c r="I13" i="1"/>
  <c r="G2" i="1"/>
  <c r="G3" i="1"/>
  <c r="G4" i="1"/>
  <c r="G5" i="1"/>
  <c r="G6" i="1"/>
  <c r="G7" i="1"/>
  <c r="G8" i="1"/>
  <c r="G9" i="1"/>
  <c r="G10" i="1"/>
  <c r="G11" i="1"/>
  <c r="G12" i="1"/>
  <c r="G13" i="1"/>
  <c r="E2" i="1"/>
  <c r="E4" i="1"/>
  <c r="E5" i="1"/>
  <c r="E6" i="1"/>
  <c r="E7" i="1"/>
  <c r="E8" i="1"/>
  <c r="E9" i="1"/>
  <c r="E10" i="1"/>
  <c r="E11" i="1"/>
  <c r="E12" i="1"/>
  <c r="E13" i="1"/>
  <c r="E3" i="1"/>
  <c r="D2" i="1"/>
  <c r="D3" i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<sst xmlns="http://schemas.openxmlformats.org/spreadsheetml/2006/main" count="196" uniqueCount="152">
  <si>
    <t>Students</t>
  </si>
  <si>
    <t>Scores</t>
  </si>
  <si>
    <t>Anil</t>
  </si>
  <si>
    <t>Amit</t>
  </si>
  <si>
    <t>Arjun</t>
  </si>
  <si>
    <t>Raj</t>
  </si>
  <si>
    <t>Rajesh</t>
  </si>
  <si>
    <t>Mitesh</t>
  </si>
  <si>
    <t>Meet</t>
  </si>
  <si>
    <t>Jay</t>
  </si>
  <si>
    <t>Jayesh</t>
  </si>
  <si>
    <t>Bhavik</t>
  </si>
  <si>
    <t>Bhavin</t>
  </si>
  <si>
    <t>Bhumit</t>
  </si>
  <si>
    <t>Result</t>
  </si>
  <si>
    <t>Gread</t>
  </si>
  <si>
    <t>Date</t>
  </si>
  <si>
    <t>Day</t>
  </si>
  <si>
    <t>Sales</t>
  </si>
  <si>
    <t>commission</t>
  </si>
  <si>
    <t>Expense</t>
  </si>
  <si>
    <t>Srno</t>
  </si>
  <si>
    <t>Column3</t>
  </si>
  <si>
    <t>srno</t>
  </si>
  <si>
    <t>sales</t>
  </si>
  <si>
    <t>Grade</t>
  </si>
  <si>
    <t>Product ID</t>
  </si>
  <si>
    <t>Product Name</t>
  </si>
  <si>
    <t>Price</t>
  </si>
  <si>
    <t>Supplier</t>
  </si>
  <si>
    <t>Emp ID</t>
  </si>
  <si>
    <t>Employee Name</t>
  </si>
  <si>
    <t>Department</t>
  </si>
  <si>
    <t>Customer ID</t>
  </si>
  <si>
    <t>Customer Name</t>
  </si>
  <si>
    <t>Email</t>
  </si>
  <si>
    <t>Marks</t>
  </si>
  <si>
    <t>P101</t>
  </si>
  <si>
    <t>Laptop</t>
  </si>
  <si>
    <t>Dell</t>
  </si>
  <si>
    <t>E101</t>
  </si>
  <si>
    <t>HR</t>
  </si>
  <si>
    <t>C101</t>
  </si>
  <si>
    <t>raj@gmail.com</t>
  </si>
  <si>
    <t>F</t>
  </si>
  <si>
    <t>P102</t>
  </si>
  <si>
    <t>Mouse</t>
  </si>
  <si>
    <t>Logitech</t>
  </si>
  <si>
    <t>E102</t>
  </si>
  <si>
    <t>Riya</t>
  </si>
  <si>
    <t>Finance</t>
  </si>
  <si>
    <t>C102</t>
  </si>
  <si>
    <t>Pooja</t>
  </si>
  <si>
    <t>pooja@gmail.com</t>
  </si>
  <si>
    <t>D</t>
  </si>
  <si>
    <t>P103</t>
  </si>
  <si>
    <t>Keyboard</t>
  </si>
  <si>
    <t>HP</t>
  </si>
  <si>
    <t>E103</t>
  </si>
  <si>
    <t>Karan</t>
  </si>
  <si>
    <t>IT</t>
  </si>
  <si>
    <t>C103</t>
  </si>
  <si>
    <t>Aman</t>
  </si>
  <si>
    <t>aman@gmail.com</t>
  </si>
  <si>
    <t>C</t>
  </si>
  <si>
    <t>P104</t>
  </si>
  <si>
    <t>Monitor</t>
  </si>
  <si>
    <t>Samsung</t>
  </si>
  <si>
    <t>E104</t>
  </si>
  <si>
    <t>Neha</t>
  </si>
  <si>
    <t>Marketing</t>
  </si>
  <si>
    <t>C104</t>
  </si>
  <si>
    <t>Sneha</t>
  </si>
  <si>
    <t>sneha@gmail.com</t>
  </si>
  <si>
    <t>B</t>
  </si>
  <si>
    <t>P105</t>
  </si>
  <si>
    <t>Printer</t>
  </si>
  <si>
    <t>Canon</t>
  </si>
  <si>
    <t>E105</t>
  </si>
  <si>
    <t>Rahul</t>
  </si>
  <si>
    <t>C105</t>
  </si>
  <si>
    <t>Vikram</t>
  </si>
  <si>
    <t>vikram@gmail.com</t>
  </si>
  <si>
    <t>A+</t>
  </si>
  <si>
    <t>task1</t>
  </si>
  <si>
    <t>task2</t>
  </si>
  <si>
    <t>task3</t>
  </si>
  <si>
    <t>task4</t>
  </si>
  <si>
    <t>task5</t>
  </si>
  <si>
    <t>Type</t>
  </si>
  <si>
    <t>Item1</t>
  </si>
  <si>
    <t>Item2</t>
  </si>
  <si>
    <t>Item3</t>
  </si>
  <si>
    <t>Item4</t>
  </si>
  <si>
    <t>Item5</t>
  </si>
  <si>
    <t>Item6</t>
  </si>
  <si>
    <t>Month</t>
  </si>
  <si>
    <t>Jan</t>
  </si>
  <si>
    <t>Feb</t>
  </si>
  <si>
    <t>Mar</t>
  </si>
  <si>
    <t>Apr</t>
  </si>
  <si>
    <t>May</t>
  </si>
  <si>
    <t>Jun</t>
  </si>
  <si>
    <t>Sales (₹)</t>
  </si>
  <si>
    <t>Income Bracket</t>
  </si>
  <si>
    <t>0-2.5L</t>
  </si>
  <si>
    <t>2.5L-5L</t>
  </si>
  <si>
    <t>5L-10L</t>
  </si>
  <si>
    <t>10L+</t>
  </si>
  <si>
    <t>-</t>
  </si>
  <si>
    <t>Tax Rate</t>
  </si>
  <si>
    <t>Category</t>
  </si>
  <si>
    <t>Electronics</t>
  </si>
  <si>
    <t>Clothing</t>
  </si>
  <si>
    <t>Furniture</t>
  </si>
  <si>
    <t>Groceries</t>
  </si>
  <si>
    <t>Books</t>
  </si>
  <si>
    <t>Discount %</t>
  </si>
  <si>
    <t>Country</t>
  </si>
  <si>
    <t>USA</t>
  </si>
  <si>
    <t>UK</t>
  </si>
  <si>
    <t>Japan</t>
  </si>
  <si>
    <t>UAE</t>
  </si>
  <si>
    <t>Australia</t>
  </si>
  <si>
    <t>Exchange Rate (INR)</t>
  </si>
  <si>
    <t>A</t>
  </si>
  <si>
    <t>Passing %</t>
  </si>
  <si>
    <t>ID</t>
  </si>
  <si>
    <t>Salary</t>
  </si>
  <si>
    <t>City</t>
  </si>
  <si>
    <t>Salesperson</t>
  </si>
  <si>
    <t>Sales Amount</t>
  </si>
  <si>
    <t>Product</t>
  </si>
  <si>
    <t>Stock Qty</t>
  </si>
  <si>
    <t>Roll No</t>
  </si>
  <si>
    <t>Student Name</t>
  </si>
  <si>
    <t>C201</t>
  </si>
  <si>
    <t>Ahmedabad</t>
  </si>
  <si>
    <t>Aisha</t>
  </si>
  <si>
    <t>Priya</t>
  </si>
  <si>
    <t>C202</t>
  </si>
  <si>
    <t>Mumbai</t>
  </si>
  <si>
    <t>Rohan</t>
  </si>
  <si>
    <t>C203</t>
  </si>
  <si>
    <t>Delhi</t>
  </si>
  <si>
    <t>Meera</t>
  </si>
  <si>
    <t>C204</t>
  </si>
  <si>
    <t>Pune</t>
  </si>
  <si>
    <t>C205</t>
  </si>
  <si>
    <t>Jaipur</t>
  </si>
  <si>
    <t>Kavya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</si>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</sst>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54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1:J13" totalsRowShown="0">
  <autoFilter ref="B1:J13"/>
  <tableColumns count="9">
    <tableColumn id="1" name="Students"/>
    <tableColumn id="2" name="Scores"/>
    <tableColumn id="3" name="Result" dataDxfId="53">
      <calculatedColumnFormula>IF(C2&gt;50, "Pass", "Fail")</calculatedColumnFormula>
    </tableColumn>
    <tableColumn id="4" name="Gread" dataDxfId="52">
      <calculatedColumnFormula>IF(C2&gt;=90,"A",IF(C2&gt;=80,"B",IF(C2&gt;=70,"C",IF(C2&gt;=60,"D","F"))))</calculatedColumnFormula>
    </tableColumn>
    <tableColumn id="5" name="Date"/>
    <tableColumn id="6" name="Day" dataDxfId="51">
      <calculatedColumnFormula>IF(WEEKDAY(F2,2)&gt;5,"Weekend","Weekday")</calculatedColumnFormula>
    </tableColumn>
    <tableColumn id="7" name="Sales" dataDxfId="50"/>
    <tableColumn id="8" name="commission" dataDxfId="49">
      <calculatedColumnFormula>IF(H2&gt;5000,H2*5%,IF(H2&gt;=2000,H2*3%,H2*1%))</calculatedColumnFormula>
    </tableColumn>
    <tableColumn id="9" name="Expense" dataDxfId="48">
      <calculatedColumnFormula>IF(H2&gt;1000,"High",IF(H2&gt;=500,"Medium","Low"))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13" totalsRowShown="0">
  <autoFilter ref="A1:A13"/>
  <tableColumns count="1">
    <tableColumn id="1" name="S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L8:N15" totalsRowShown="0">
  <autoFilter ref="L8:N15"/>
  <tableColumns count="3">
    <tableColumn id="1" name="srno"/>
    <tableColumn id="2" name="sales" dataDxfId="47">
      <calculatedColumnFormula>VLOOKUP(Table3[[#This Row],[srno]],A1:J13,8)</calculatedColumnFormula>
    </tableColumn>
    <tableColumn id="3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9:Q24" totalsRowShown="0" headerRowDxfId="46" dataDxfId="45">
  <autoFilter ref="A19:Q24"/>
  <tableColumns count="17">
    <tableColumn id="1" name="Product ID" dataDxfId="44"/>
    <tableColumn id="2" name="Product Name" dataDxfId="43"/>
    <tableColumn id="3" name="Price" dataDxfId="42"/>
    <tableColumn id="4" name="Supplier" dataDxfId="41"/>
    <tableColumn id="5" name="Emp ID" dataDxfId="40"/>
    <tableColumn id="6" name="Employee Name" dataDxfId="39"/>
    <tableColumn id="7" name="Department" dataDxfId="38"/>
    <tableColumn id="8" name="Customer ID" dataDxfId="37"/>
    <tableColumn id="9" name="Customer Name" dataDxfId="36"/>
    <tableColumn id="10" name="Email" dataDxfId="35" dataCellStyle="Hyperlink"/>
    <tableColumn id="11" name="Marks" dataDxfId="34"/>
    <tableColumn id="12" name="Grade" dataDxfId="33"/>
    <tableColumn id="13" name="task1" dataDxfId="32">
      <calculatedColumnFormula>VLOOKUP(A20, A19:L24, 3, FALSE)</calculatedColumnFormula>
    </tableColumn>
    <tableColumn id="14" name="task2" dataDxfId="31">
      <calculatedColumnFormula>VLOOKUP(E20, E20:G24, 3, FALSE)</calculatedColumnFormula>
    </tableColumn>
    <tableColumn id="15" name="task3" dataDxfId="30">
      <calculatedColumnFormula>VLOOKUP(K20, K20:L24, 2, FALSE)</calculatedColumnFormula>
    </tableColumn>
    <tableColumn id="16" name="task4" dataDxfId="29">
      <calculatedColumnFormula>VLOOKUP(H20, H19:J24, 3, FALSE)</calculatedColumnFormula>
    </tableColumn>
    <tableColumn id="17" name="task5" dataDxfId="28">
      <calculatedColumnFormula>VLOOKUP(A20, A19:D24, 4, 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H11" totalsRowShown="0" headerRowDxfId="27" dataDxfId="26">
  <autoFilter ref="A1:H11"/>
  <tableColumns count="8">
    <tableColumn id="1" name="Type" dataDxfId="25"/>
    <tableColumn id="2" name="Item1" dataDxfId="24"/>
    <tableColumn id="3" name="Item2" dataDxfId="23"/>
    <tableColumn id="4" name="Item3" dataDxfId="22"/>
    <tableColumn id="5" name="Item4" dataDxfId="21"/>
    <tableColumn id="6" name="Item5" dataDxfId="20"/>
    <tableColumn id="7" name="Item6" dataDxfId="19"/>
    <tableColumn id="8" name="task1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P6" totalsRowShown="0" headerRowDxfId="17" dataDxfId="16">
  <autoFilter ref="A1:P6"/>
  <tableColumns count="16">
    <tableColumn id="1" name="ID" dataDxfId="15"/>
    <tableColumn id="2" name="Employee Name" dataDxfId="14"/>
    <tableColumn id="3" name="Salary" dataDxfId="13"/>
    <tableColumn id="4" name="Customer ID" dataDxfId="12"/>
    <tableColumn id="5" name="City" dataDxfId="11"/>
    <tableColumn id="6" name="Salesperson" dataDxfId="10"/>
    <tableColumn id="7" name="Sales Amount" dataDxfId="9"/>
    <tableColumn id="8" name="Product" dataDxfId="8"/>
    <tableColumn id="9" name="Stock Qty" dataDxfId="7"/>
    <tableColumn id="10" name="Roll No" dataDxfId="6"/>
    <tableColumn id="11" name="Student Name" dataDxfId="5"/>
    <tableColumn id="12" name="task1" dataDxfId="4">
      <calculatedColumnFormula>INDEX(C2:C6, MATCH("E103", A2:A6, 0))</calculatedColumnFormula>
    </tableColumn>
    <tableColumn id="13" name="task" dataDxfId="3">
      <calculatedColumnFormula>INDEX(E1:E5, MATCH("C202", D1:D5, 0))</calculatedColumnFormula>
    </tableColumn>
    <tableColumn id="14" name="task3" dataDxfId="2">
      <calculatedColumnFormula>INDEX(G2:G6, MATCH(F2, F2:F6, 0))</calculatedColumnFormula>
    </tableColumn>
    <tableColumn id="15" name="task4" dataDxfId="1">
      <calculatedColumnFormula>INDEX(I2:I6, MATCH(H2, H2:H6, 0))</calculatedColumnFormula>
    </tableColumn>
    <tableColumn id="16" name="task5" dataDxfId="0">
      <calculatedColumnFormula>INDEX(K2:K6, MATCH(J2, J2:J6,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mailto:aman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pooja@gmail.com" TargetMode="External"/><Relationship Id="rId1" Type="http://schemas.openxmlformats.org/officeDocument/2006/relationships/hyperlink" Target="mailto:raj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vikram@gmail.com" TargetMode="External"/><Relationship Id="rId10" Type="http://schemas.openxmlformats.org/officeDocument/2006/relationships/table" Target="../tables/table4.xml"/><Relationship Id="rId4" Type="http://schemas.openxmlformats.org/officeDocument/2006/relationships/hyperlink" Target="mailto:sneha@gmail.com" TargetMode="External"/><Relationship Id="rId9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zoomScale="83" zoomScaleNormal="100" workbookViewId="0">
      <selection activeCell="Q21" sqref="Q21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9.5546875" bestFit="1" customWidth="1"/>
    <col min="4" max="4" width="13.21875" bestFit="1" customWidth="1"/>
    <col min="5" max="5" width="11.44140625" bestFit="1" customWidth="1"/>
    <col min="6" max="6" width="19.33203125" bestFit="1" customWidth="1"/>
    <col min="7" max="7" width="15.5546875" bestFit="1" customWidth="1"/>
    <col min="8" max="8" width="15.77734375" bestFit="1" customWidth="1"/>
    <col min="9" max="9" width="19.109375" bestFit="1" customWidth="1"/>
    <col min="10" max="10" width="17.5546875" customWidth="1"/>
    <col min="12" max="13" width="9.88671875" customWidth="1"/>
    <col min="14" max="14" width="10.77734375" bestFit="1" customWidth="1"/>
    <col min="16" max="16" width="17.109375" bestFit="1" customWidth="1"/>
  </cols>
  <sheetData>
    <row r="1" spans="1:14" x14ac:dyDescent="0.3">
      <c r="A1" t="s">
        <v>21</v>
      </c>
      <c r="B1" t="s">
        <v>0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4" x14ac:dyDescent="0.3">
      <c r="A2">
        <v>1</v>
      </c>
      <c r="B2" s="4" t="s">
        <v>2</v>
      </c>
      <c r="C2" s="4">
        <v>87</v>
      </c>
      <c r="D2" s="4" t="str">
        <f t="shared" ref="D2:D13" si="0">IF(C2&gt;50, "Pass", "Fail")</f>
        <v>Pass</v>
      </c>
      <c r="E2" s="4" t="str">
        <f>IF(C2&gt;=90,"A",IF(C2&gt;=80,"B",IF(C2&gt;=70,"C",IF(C2&gt;=60,"D","F"))))</f>
        <v>B</v>
      </c>
      <c r="F2" s="5">
        <v>46096</v>
      </c>
      <c r="G2" s="4" t="str">
        <f t="shared" ref="G2:G13" si="1">IF(WEEKDAY(F2,2)&gt;5,"Weekend","Weekday")</f>
        <v>Weekend</v>
      </c>
      <c r="H2" s="6">
        <v>300</v>
      </c>
      <c r="I2" s="2">
        <f>IF(H2&gt;5000,H2*5%,IF(H2&gt;=2000,H2*3%,H2*1%))</f>
        <v>3</v>
      </c>
      <c r="J2" s="3" t="str">
        <f>IF(H2&gt;1000,"High",IF(H2&gt;=500,"Medium","Low"))</f>
        <v>Low</v>
      </c>
    </row>
    <row r="3" spans="1:14" x14ac:dyDescent="0.3">
      <c r="A3">
        <v>2</v>
      </c>
      <c r="B3" t="s">
        <v>3</v>
      </c>
      <c r="C3">
        <v>54</v>
      </c>
      <c r="D3" t="str">
        <f t="shared" si="0"/>
        <v>Pass</v>
      </c>
      <c r="E3" t="str">
        <f>IF(C3&gt;=90,"A",IF(C3&gt;=80,"B",IF(C3&gt;=70,"C",IF(C3&gt;=60,"D","F"))))</f>
        <v>F</v>
      </c>
      <c r="F3" s="1">
        <v>46085</v>
      </c>
      <c r="G3" t="str">
        <f t="shared" si="1"/>
        <v>Weekday</v>
      </c>
      <c r="H3" s="3">
        <v>650</v>
      </c>
      <c r="I3" s="2">
        <f t="shared" ref="I3:I13" si="2">IF(H3&gt;5000,H3*5%,IF(H3&gt;=2000,H3*3%,H3*1%))</f>
        <v>6.5</v>
      </c>
      <c r="J3" s="3" t="str">
        <f t="shared" ref="J3:J13" si="3">IF(H3&gt;1000,"High",IF(H3&gt;=500,"Medium","Low"))</f>
        <v>Medium</v>
      </c>
    </row>
    <row r="4" spans="1:14" x14ac:dyDescent="0.3">
      <c r="A4">
        <v>3</v>
      </c>
      <c r="B4" t="s">
        <v>4</v>
      </c>
      <c r="C4">
        <v>65</v>
      </c>
      <c r="D4" t="str">
        <f t="shared" si="0"/>
        <v>Pass</v>
      </c>
      <c r="E4" t="str">
        <f t="shared" ref="E4:E13" si="4">IF(C4&gt;=90,"A",IF(C4&gt;=80,"B",IF(C4&gt;=70,"C",IF(C4&gt;=60,"D","F"))))</f>
        <v>D</v>
      </c>
      <c r="F4" s="1">
        <v>46088</v>
      </c>
      <c r="G4" t="str">
        <f t="shared" si="1"/>
        <v>Weekend</v>
      </c>
      <c r="H4" s="3">
        <v>2500</v>
      </c>
      <c r="I4" s="2">
        <f t="shared" si="2"/>
        <v>75</v>
      </c>
      <c r="J4" s="3" t="str">
        <f t="shared" si="3"/>
        <v>High</v>
      </c>
      <c r="M4">
        <f>I17</f>
        <v>0</v>
      </c>
    </row>
    <row r="5" spans="1:14" x14ac:dyDescent="0.3">
      <c r="A5">
        <v>4</v>
      </c>
      <c r="B5" t="s">
        <v>5</v>
      </c>
      <c r="C5">
        <v>23</v>
      </c>
      <c r="D5" t="str">
        <f t="shared" si="0"/>
        <v>Fail</v>
      </c>
      <c r="E5" t="str">
        <f t="shared" si="4"/>
        <v>F</v>
      </c>
      <c r="F5" s="1">
        <v>46089</v>
      </c>
      <c r="G5" t="str">
        <f t="shared" si="1"/>
        <v>Weekend</v>
      </c>
      <c r="H5" s="3">
        <v>4800</v>
      </c>
      <c r="I5" s="2">
        <f t="shared" si="2"/>
        <v>144</v>
      </c>
      <c r="J5" s="3" t="str">
        <f t="shared" si="3"/>
        <v>High</v>
      </c>
    </row>
    <row r="6" spans="1:14" x14ac:dyDescent="0.3">
      <c r="A6">
        <v>5</v>
      </c>
      <c r="B6" t="s">
        <v>6</v>
      </c>
      <c r="C6">
        <v>76</v>
      </c>
      <c r="D6" t="str">
        <f t="shared" si="0"/>
        <v>Pass</v>
      </c>
      <c r="E6" t="str">
        <f t="shared" si="4"/>
        <v>C</v>
      </c>
      <c r="F6" s="1">
        <v>46090</v>
      </c>
      <c r="G6" t="str">
        <f t="shared" si="1"/>
        <v>Weekday</v>
      </c>
      <c r="H6" s="3">
        <v>5200</v>
      </c>
      <c r="I6" s="2">
        <f t="shared" si="2"/>
        <v>260</v>
      </c>
      <c r="J6" s="3" t="str">
        <f t="shared" si="3"/>
        <v>High</v>
      </c>
    </row>
    <row r="7" spans="1:14" x14ac:dyDescent="0.3">
      <c r="A7">
        <v>6</v>
      </c>
      <c r="B7" t="s">
        <v>7</v>
      </c>
      <c r="C7">
        <v>98</v>
      </c>
      <c r="D7" t="str">
        <f t="shared" si="0"/>
        <v>Pass</v>
      </c>
      <c r="E7" t="str">
        <f t="shared" si="4"/>
        <v>A</v>
      </c>
      <c r="F7" s="1">
        <v>46096</v>
      </c>
      <c r="G7" t="str">
        <f t="shared" si="1"/>
        <v>Weekend</v>
      </c>
      <c r="H7" s="3">
        <v>8000</v>
      </c>
      <c r="I7" s="2">
        <f t="shared" si="2"/>
        <v>400</v>
      </c>
      <c r="J7" s="3" t="str">
        <f t="shared" si="3"/>
        <v>High</v>
      </c>
    </row>
    <row r="8" spans="1:14" x14ac:dyDescent="0.3">
      <c r="A8">
        <v>7</v>
      </c>
      <c r="B8" t="s">
        <v>8</v>
      </c>
      <c r="C8">
        <v>43</v>
      </c>
      <c r="D8" t="str">
        <f t="shared" si="0"/>
        <v>Fail</v>
      </c>
      <c r="E8" t="str">
        <f t="shared" si="4"/>
        <v>F</v>
      </c>
      <c r="F8" s="1">
        <v>46085</v>
      </c>
      <c r="G8" t="str">
        <f t="shared" si="1"/>
        <v>Weekday</v>
      </c>
      <c r="H8" s="3">
        <v>9110</v>
      </c>
      <c r="I8" s="2">
        <f t="shared" si="2"/>
        <v>455.5</v>
      </c>
      <c r="J8" s="3" t="str">
        <f t="shared" si="3"/>
        <v>High</v>
      </c>
      <c r="L8" t="s">
        <v>23</v>
      </c>
      <c r="M8" t="s">
        <v>24</v>
      </c>
      <c r="N8" t="s">
        <v>22</v>
      </c>
    </row>
    <row r="9" spans="1:14" x14ac:dyDescent="0.3">
      <c r="A9">
        <v>8</v>
      </c>
      <c r="B9" t="s">
        <v>9</v>
      </c>
      <c r="C9">
        <v>67</v>
      </c>
      <c r="D9" t="str">
        <f t="shared" si="0"/>
        <v>Pass</v>
      </c>
      <c r="E9" t="str">
        <f t="shared" si="4"/>
        <v>D</v>
      </c>
      <c r="F9" s="1">
        <v>46088</v>
      </c>
      <c r="G9" t="str">
        <f t="shared" si="1"/>
        <v>Weekend</v>
      </c>
      <c r="H9" s="3">
        <v>10680</v>
      </c>
      <c r="I9" s="2">
        <f t="shared" si="2"/>
        <v>534</v>
      </c>
      <c r="J9" s="3" t="str">
        <f t="shared" si="3"/>
        <v>High</v>
      </c>
      <c r="L9">
        <v>1</v>
      </c>
      <c r="M9">
        <f>VLOOKUP(Table3[[#This Row],[srno]],A1:J13,8)</f>
        <v>300</v>
      </c>
    </row>
    <row r="10" spans="1:14" x14ac:dyDescent="0.3">
      <c r="A10">
        <v>9</v>
      </c>
      <c r="B10" t="s">
        <v>10</v>
      </c>
      <c r="C10">
        <v>54</v>
      </c>
      <c r="D10" t="str">
        <f t="shared" si="0"/>
        <v>Pass</v>
      </c>
      <c r="E10" t="str">
        <f t="shared" si="4"/>
        <v>F</v>
      </c>
      <c r="F10" s="1">
        <v>46089</v>
      </c>
      <c r="G10" t="str">
        <f t="shared" si="1"/>
        <v>Weekend</v>
      </c>
      <c r="H10" s="3">
        <v>12250</v>
      </c>
      <c r="I10" s="2">
        <f t="shared" si="2"/>
        <v>612.5</v>
      </c>
      <c r="J10" s="3" t="str">
        <f t="shared" si="3"/>
        <v>High</v>
      </c>
      <c r="L10">
        <v>3</v>
      </c>
      <c r="M10">
        <f>VLOOKUP(Table3[[#This Row],[srno]],A2:J14,8)</f>
        <v>2500</v>
      </c>
    </row>
    <row r="11" spans="1:14" x14ac:dyDescent="0.3">
      <c r="A11">
        <v>10</v>
      </c>
      <c r="B11" t="s">
        <v>11</v>
      </c>
      <c r="C11">
        <v>8</v>
      </c>
      <c r="D11" t="str">
        <f t="shared" si="0"/>
        <v>Fail</v>
      </c>
      <c r="E11" t="str">
        <f t="shared" si="4"/>
        <v>F</v>
      </c>
      <c r="F11" s="1">
        <v>46090</v>
      </c>
      <c r="G11" t="str">
        <f t="shared" si="1"/>
        <v>Weekday</v>
      </c>
      <c r="H11" s="3">
        <v>13820</v>
      </c>
      <c r="I11" s="2">
        <f t="shared" si="2"/>
        <v>691</v>
      </c>
      <c r="J11" s="3" t="str">
        <f t="shared" si="3"/>
        <v>High</v>
      </c>
      <c r="L11">
        <v>5</v>
      </c>
      <c r="M11">
        <f>VLOOKUP(Table3[[#This Row],[srno]],A3:J15,8)</f>
        <v>5200</v>
      </c>
    </row>
    <row r="12" spans="1:14" x14ac:dyDescent="0.3">
      <c r="A12">
        <v>11</v>
      </c>
      <c r="B12" t="s">
        <v>12</v>
      </c>
      <c r="C12">
        <v>5</v>
      </c>
      <c r="D12" t="str">
        <f t="shared" si="0"/>
        <v>Fail</v>
      </c>
      <c r="E12" t="str">
        <f t="shared" si="4"/>
        <v>F</v>
      </c>
      <c r="F12" s="1">
        <v>46089</v>
      </c>
      <c r="G12" t="str">
        <f t="shared" si="1"/>
        <v>Weekend</v>
      </c>
      <c r="H12" s="3">
        <v>15390</v>
      </c>
      <c r="I12" s="2">
        <f t="shared" si="2"/>
        <v>769.5</v>
      </c>
      <c r="J12" s="3" t="str">
        <f t="shared" si="3"/>
        <v>High</v>
      </c>
      <c r="M12" t="e">
        <f>VLOOKUP(Table3[[#This Row],[srno]],A4:J16,8)</f>
        <v>#N/A</v>
      </c>
    </row>
    <row r="13" spans="1:14" x14ac:dyDescent="0.3">
      <c r="A13">
        <v>12</v>
      </c>
      <c r="B13" t="s">
        <v>13</v>
      </c>
      <c r="C13">
        <v>99</v>
      </c>
      <c r="D13" t="str">
        <f t="shared" si="0"/>
        <v>Pass</v>
      </c>
      <c r="E13" t="str">
        <f t="shared" si="4"/>
        <v>A</v>
      </c>
      <c r="F13" s="1">
        <v>46090</v>
      </c>
      <c r="G13" t="str">
        <f t="shared" si="1"/>
        <v>Weekday</v>
      </c>
      <c r="H13" s="3">
        <v>16960</v>
      </c>
      <c r="I13" s="2">
        <f t="shared" si="2"/>
        <v>848</v>
      </c>
      <c r="J13" s="3" t="str">
        <f t="shared" si="3"/>
        <v>High</v>
      </c>
      <c r="M13" t="e">
        <f>VLOOKUP(Table3[[#This Row],[srno]],A5:J17,8)</f>
        <v>#N/A</v>
      </c>
    </row>
    <row r="14" spans="1:14" x14ac:dyDescent="0.3">
      <c r="M14" t="e">
        <f>VLOOKUP(Table3[[#This Row],[srno]],A6:J18,8)</f>
        <v>#N/A</v>
      </c>
    </row>
    <row r="15" spans="1:14" x14ac:dyDescent="0.3">
      <c r="M15" t="e">
        <f>VLOOKUP(Table3[[#This Row],[srno]],A7:J19,8)</f>
        <v>#N/A</v>
      </c>
    </row>
    <row r="19" spans="1:17" x14ac:dyDescent="0.3">
      <c r="A19" s="7" t="s">
        <v>26</v>
      </c>
      <c r="B19" s="7" t="s">
        <v>27</v>
      </c>
      <c r="C19" s="7" t="s">
        <v>28</v>
      </c>
      <c r="D19" s="7" t="s">
        <v>29</v>
      </c>
      <c r="E19" s="7" t="s">
        <v>30</v>
      </c>
      <c r="F19" s="7" t="s">
        <v>31</v>
      </c>
      <c r="G19" s="7" t="s">
        <v>32</v>
      </c>
      <c r="H19" s="7" t="s">
        <v>33</v>
      </c>
      <c r="I19" s="7" t="s">
        <v>34</v>
      </c>
      <c r="J19" s="7" t="s">
        <v>35</v>
      </c>
      <c r="K19" s="7" t="s">
        <v>36</v>
      </c>
      <c r="L19" s="7" t="s">
        <v>25</v>
      </c>
      <c r="M19" s="9" t="s">
        <v>84</v>
      </c>
      <c r="N19" s="9" t="s">
        <v>85</v>
      </c>
      <c r="O19" s="9" t="s">
        <v>86</v>
      </c>
      <c r="P19" s="9" t="s">
        <v>87</v>
      </c>
      <c r="Q19" s="9" t="s">
        <v>88</v>
      </c>
    </row>
    <row r="20" spans="1:17" x14ac:dyDescent="0.3">
      <c r="A20" s="3" t="s">
        <v>37</v>
      </c>
      <c r="B20" s="3" t="s">
        <v>38</v>
      </c>
      <c r="C20" s="3">
        <v>50000</v>
      </c>
      <c r="D20" s="3" t="s">
        <v>39</v>
      </c>
      <c r="E20" s="3" t="s">
        <v>40</v>
      </c>
      <c r="F20" s="3" t="s">
        <v>3</v>
      </c>
      <c r="G20" s="3" t="s">
        <v>41</v>
      </c>
      <c r="H20" s="3" t="s">
        <v>42</v>
      </c>
      <c r="I20" s="3" t="s">
        <v>5</v>
      </c>
      <c r="J20" s="8" t="s">
        <v>43</v>
      </c>
      <c r="K20" s="3">
        <v>35</v>
      </c>
      <c r="L20" s="3" t="s">
        <v>44</v>
      </c>
      <c r="M20" s="3">
        <f>VLOOKUP(A20, A19:L24, 3, FALSE)</f>
        <v>50000</v>
      </c>
      <c r="N20" s="3" t="str">
        <f t="shared" ref="N20:N24" si="5">VLOOKUP(E20, E20:G24, 3, FALSE)</f>
        <v>HR</v>
      </c>
      <c r="O20" s="3" t="str">
        <f t="shared" ref="O20:O24" si="6">VLOOKUP(K20, K20:L24, 2, FALSE)</f>
        <v>F</v>
      </c>
      <c r="P20" s="10" t="str">
        <f t="shared" ref="P20:P24" si="7">VLOOKUP(H20, H19:J24, 3, FALSE)</f>
        <v>raj@gmail.com</v>
      </c>
      <c r="Q20" s="10" t="str">
        <f t="shared" ref="Q20:Q24" si="8">VLOOKUP(A20, A19:D24, 4, FALSE)</f>
        <v>Dell</v>
      </c>
    </row>
    <row r="21" spans="1:17" x14ac:dyDescent="0.3">
      <c r="A21" s="3" t="s">
        <v>45</v>
      </c>
      <c r="B21" s="3" t="s">
        <v>46</v>
      </c>
      <c r="C21" s="3">
        <v>500</v>
      </c>
      <c r="D21" s="3" t="s">
        <v>47</v>
      </c>
      <c r="E21" s="3" t="s">
        <v>48</v>
      </c>
      <c r="F21" s="3" t="s">
        <v>49</v>
      </c>
      <c r="G21" s="3" t="s">
        <v>50</v>
      </c>
      <c r="H21" s="3" t="s">
        <v>51</v>
      </c>
      <c r="I21" s="3" t="s">
        <v>52</v>
      </c>
      <c r="J21" s="8" t="s">
        <v>53</v>
      </c>
      <c r="K21" s="3">
        <v>48</v>
      </c>
      <c r="L21" s="3" t="s">
        <v>54</v>
      </c>
      <c r="M21" s="3">
        <f>VLOOKUP(A21, A20:L25, 3, FALSE)</f>
        <v>500</v>
      </c>
      <c r="N21" s="3" t="str">
        <f t="shared" si="5"/>
        <v>Finance</v>
      </c>
      <c r="O21" s="3" t="str">
        <f t="shared" si="6"/>
        <v>D</v>
      </c>
      <c r="P21" s="10" t="str">
        <f t="shared" si="7"/>
        <v>pooja@gmail.com</v>
      </c>
      <c r="Q21" s="10" t="str">
        <f t="shared" si="8"/>
        <v>Logitech</v>
      </c>
    </row>
    <row r="22" spans="1:17" x14ac:dyDescent="0.3">
      <c r="A22" s="3" t="s">
        <v>55</v>
      </c>
      <c r="B22" s="3" t="s">
        <v>56</v>
      </c>
      <c r="C22" s="3">
        <v>1200</v>
      </c>
      <c r="D22" s="3" t="s">
        <v>57</v>
      </c>
      <c r="E22" s="3" t="s">
        <v>58</v>
      </c>
      <c r="F22" s="3" t="s">
        <v>59</v>
      </c>
      <c r="G22" s="3" t="s">
        <v>60</v>
      </c>
      <c r="H22" s="3" t="s">
        <v>61</v>
      </c>
      <c r="I22" s="3" t="s">
        <v>62</v>
      </c>
      <c r="J22" s="8" t="s">
        <v>63</v>
      </c>
      <c r="K22" s="3">
        <v>55</v>
      </c>
      <c r="L22" s="3" t="s">
        <v>64</v>
      </c>
      <c r="M22" s="3">
        <f t="shared" ref="M22:M24" si="9">VLOOKUP(A22, A21:L26, 3, FALSE)</f>
        <v>1200</v>
      </c>
      <c r="N22" s="3" t="str">
        <f t="shared" si="5"/>
        <v>IT</v>
      </c>
      <c r="O22" s="3" t="str">
        <f t="shared" si="6"/>
        <v>C</v>
      </c>
      <c r="P22" s="10" t="str">
        <f t="shared" si="7"/>
        <v>aman@gmail.com</v>
      </c>
      <c r="Q22" s="10" t="str">
        <f t="shared" si="8"/>
        <v>HP</v>
      </c>
    </row>
    <row r="23" spans="1:17" x14ac:dyDescent="0.3">
      <c r="A23" s="3" t="s">
        <v>65</v>
      </c>
      <c r="B23" s="3" t="s">
        <v>66</v>
      </c>
      <c r="C23" s="3">
        <v>8000</v>
      </c>
      <c r="D23" s="3" t="s">
        <v>67</v>
      </c>
      <c r="E23" s="3" t="s">
        <v>68</v>
      </c>
      <c r="F23" s="3" t="s">
        <v>69</v>
      </c>
      <c r="G23" s="3" t="s">
        <v>70</v>
      </c>
      <c r="H23" s="3" t="s">
        <v>71</v>
      </c>
      <c r="I23" s="3" t="s">
        <v>72</v>
      </c>
      <c r="J23" s="8" t="s">
        <v>73</v>
      </c>
      <c r="K23" s="3">
        <v>68</v>
      </c>
      <c r="L23" s="3" t="s">
        <v>74</v>
      </c>
      <c r="M23" s="3">
        <f t="shared" si="9"/>
        <v>8000</v>
      </c>
      <c r="N23" s="3" t="str">
        <f t="shared" si="5"/>
        <v>Marketing</v>
      </c>
      <c r="O23" s="3" t="str">
        <f t="shared" si="6"/>
        <v>B</v>
      </c>
      <c r="P23" s="10" t="str">
        <f t="shared" si="7"/>
        <v>sneha@gmail.com</v>
      </c>
      <c r="Q23" s="10" t="str">
        <f t="shared" si="8"/>
        <v>Samsung</v>
      </c>
    </row>
    <row r="24" spans="1:17" x14ac:dyDescent="0.3">
      <c r="A24" s="3" t="s">
        <v>75</v>
      </c>
      <c r="B24" s="3" t="s">
        <v>76</v>
      </c>
      <c r="C24" s="3">
        <v>15000</v>
      </c>
      <c r="D24" s="3" t="s">
        <v>77</v>
      </c>
      <c r="E24" s="3" t="s">
        <v>78</v>
      </c>
      <c r="F24" s="3" t="s">
        <v>79</v>
      </c>
      <c r="G24" s="3" t="s">
        <v>18</v>
      </c>
      <c r="H24" s="3" t="s">
        <v>80</v>
      </c>
      <c r="I24" s="3" t="s">
        <v>81</v>
      </c>
      <c r="J24" s="8" t="s">
        <v>82</v>
      </c>
      <c r="K24" s="3">
        <v>92</v>
      </c>
      <c r="L24" s="3" t="s">
        <v>83</v>
      </c>
      <c r="M24" s="3">
        <f t="shared" si="9"/>
        <v>15000</v>
      </c>
      <c r="N24" s="3" t="str">
        <f t="shared" si="5"/>
        <v>Sales</v>
      </c>
      <c r="O24" s="3" t="str">
        <f t="shared" si="6"/>
        <v>A+</v>
      </c>
      <c r="P24" s="10" t="str">
        <f t="shared" si="7"/>
        <v>vikram@gmail.com</v>
      </c>
      <c r="Q24" s="10" t="str">
        <f t="shared" si="8"/>
        <v>Canon</v>
      </c>
    </row>
  </sheetData>
  <hyperlinks>
    <hyperlink ref="J20" r:id="rId1" display="mailto:raj@gmail.com"/>
    <hyperlink ref="J21" r:id="rId2" display="mailto:pooja@gmail.com"/>
    <hyperlink ref="J22" r:id="rId3" display="mailto:aman@gmail.com"/>
    <hyperlink ref="J23" r:id="rId4" display="mailto:sneha@gmail.com"/>
    <hyperlink ref="J24" r:id="rId5" display="mailto:vikram@gmail.com"/>
  </hyperlinks>
  <pageMargins left="0.7" right="0.7" top="0.75" bottom="0.75" header="0.3" footer="0.3"/>
  <pageSetup orientation="portrait" r:id="rId6"/>
  <tableParts count="4"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="175" zoomScaleNormal="175" workbookViewId="0">
      <selection activeCell="H11" sqref="H11"/>
    </sheetView>
  </sheetViews>
  <sheetFormatPr defaultRowHeight="14.4" x14ac:dyDescent="0.3"/>
  <cols>
    <col min="1" max="1" width="18.109375" customWidth="1"/>
    <col min="2" max="2" width="10.33203125" bestFit="1" customWidth="1"/>
    <col min="4" max="7" width="10.33203125" bestFit="1" customWidth="1"/>
  </cols>
  <sheetData>
    <row r="1" spans="1:8" x14ac:dyDescent="0.3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  <c r="H1" s="9" t="s">
        <v>84</v>
      </c>
    </row>
    <row r="2" spans="1:8" x14ac:dyDescent="0.3">
      <c r="A2" s="3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3" t="s">
        <v>101</v>
      </c>
      <c r="G2" s="3" t="s">
        <v>102</v>
      </c>
      <c r="H2" s="3">
        <f>HLOOKUP("Mar",A2:G3,2,FALSE)</f>
        <v>17000</v>
      </c>
    </row>
    <row r="3" spans="1:8" x14ac:dyDescent="0.3">
      <c r="A3" s="3" t="s">
        <v>103</v>
      </c>
      <c r="B3" s="3">
        <v>12000</v>
      </c>
      <c r="C3" s="3">
        <v>15000</v>
      </c>
      <c r="D3" s="3">
        <v>17000</v>
      </c>
      <c r="E3" s="3">
        <v>14000</v>
      </c>
      <c r="F3" s="3">
        <v>20000</v>
      </c>
      <c r="G3" s="3">
        <v>22000</v>
      </c>
      <c r="H3" s="3"/>
    </row>
    <row r="4" spans="1:8" x14ac:dyDescent="0.3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109</v>
      </c>
      <c r="H4" s="3">
        <f>HLOOKUP("10L+", A4:E5,2, FALSE)</f>
        <v>0.3</v>
      </c>
    </row>
    <row r="5" spans="1:8" x14ac:dyDescent="0.3">
      <c r="A5" s="3" t="s">
        <v>110</v>
      </c>
      <c r="B5" s="11">
        <v>0</v>
      </c>
      <c r="C5" s="11">
        <v>0.05</v>
      </c>
      <c r="D5" s="11">
        <v>0.2</v>
      </c>
      <c r="E5" s="11">
        <v>0.3</v>
      </c>
      <c r="F5" s="3" t="s">
        <v>109</v>
      </c>
      <c r="G5" s="3" t="s">
        <v>109</v>
      </c>
      <c r="H5" s="3"/>
    </row>
    <row r="6" spans="1:8" x14ac:dyDescent="0.3">
      <c r="A6" s="3" t="s">
        <v>111</v>
      </c>
      <c r="B6" s="3" t="s">
        <v>112</v>
      </c>
      <c r="C6" s="3" t="s">
        <v>113</v>
      </c>
      <c r="D6" s="3" t="s">
        <v>114</v>
      </c>
      <c r="E6" s="3" t="s">
        <v>115</v>
      </c>
      <c r="F6" s="3" t="s">
        <v>116</v>
      </c>
      <c r="G6" s="3" t="s">
        <v>109</v>
      </c>
      <c r="H6" s="3">
        <f>HLOOKUP("Furniture",A6:F7,2,FALSE)</f>
        <v>0.2</v>
      </c>
    </row>
    <row r="7" spans="1:8" x14ac:dyDescent="0.3">
      <c r="A7" s="3" t="s">
        <v>117</v>
      </c>
      <c r="B7" s="11">
        <v>0.1</v>
      </c>
      <c r="C7" s="11">
        <v>0.15</v>
      </c>
      <c r="D7" s="11">
        <v>0.2</v>
      </c>
      <c r="E7" s="11">
        <v>0.05</v>
      </c>
      <c r="F7" s="11">
        <v>0.08</v>
      </c>
      <c r="G7" s="3" t="s">
        <v>109</v>
      </c>
      <c r="H7" s="3"/>
    </row>
    <row r="8" spans="1:8" x14ac:dyDescent="0.3">
      <c r="A8" s="3" t="s">
        <v>118</v>
      </c>
      <c r="B8" s="3" t="s">
        <v>119</v>
      </c>
      <c r="C8" s="3" t="s">
        <v>120</v>
      </c>
      <c r="D8" s="3" t="s">
        <v>121</v>
      </c>
      <c r="E8" s="3" t="s">
        <v>122</v>
      </c>
      <c r="F8" s="3" t="s">
        <v>123</v>
      </c>
      <c r="G8" s="3" t="s">
        <v>109</v>
      </c>
      <c r="H8" s="3">
        <f>HLOOKUP("UK",A8:F9,2,FALSE)</f>
        <v>105</v>
      </c>
    </row>
    <row r="9" spans="1:8" x14ac:dyDescent="0.3">
      <c r="A9" s="3" t="s">
        <v>124</v>
      </c>
      <c r="B9" s="3">
        <v>83</v>
      </c>
      <c r="C9" s="3">
        <v>105</v>
      </c>
      <c r="D9" s="3">
        <v>0.56000000000000005</v>
      </c>
      <c r="E9" s="3">
        <v>22.6</v>
      </c>
      <c r="F9" s="3">
        <v>54</v>
      </c>
      <c r="G9" s="3" t="s">
        <v>109</v>
      </c>
      <c r="H9" s="3"/>
    </row>
    <row r="10" spans="1:8" x14ac:dyDescent="0.3">
      <c r="A10" s="3" t="s">
        <v>25</v>
      </c>
      <c r="B10" s="3" t="s">
        <v>125</v>
      </c>
      <c r="C10" s="3" t="s">
        <v>74</v>
      </c>
      <c r="D10" s="3" t="s">
        <v>64</v>
      </c>
      <c r="E10" s="3" t="s">
        <v>54</v>
      </c>
      <c r="F10" s="3" t="s">
        <v>44</v>
      </c>
      <c r="G10" s="3" t="s">
        <v>109</v>
      </c>
      <c r="H10" s="3">
        <f>HLOOKUP("A",A10:F11,2,FALSE)</f>
        <v>90</v>
      </c>
    </row>
    <row r="11" spans="1:8" x14ac:dyDescent="0.3">
      <c r="A11" s="3" t="s">
        <v>126</v>
      </c>
      <c r="B11" s="3">
        <v>90</v>
      </c>
      <c r="C11" s="3">
        <v>75</v>
      </c>
      <c r="D11" s="3">
        <v>60</v>
      </c>
      <c r="E11" s="3">
        <v>50</v>
      </c>
      <c r="F11" s="3">
        <v>40</v>
      </c>
      <c r="G11" s="3" t="s">
        <v>109</v>
      </c>
      <c r="H1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topLeftCell="G1" zoomScale="115" zoomScaleNormal="115" workbookViewId="0">
      <selection activeCell="Q12" sqref="Q12"/>
    </sheetView>
  </sheetViews>
  <sheetFormatPr defaultRowHeight="14.4" x14ac:dyDescent="0.3"/>
  <cols>
    <col min="1" max="1" width="7.21875" bestFit="1" customWidth="1"/>
    <col min="2" max="2" width="19.33203125" bestFit="1" customWidth="1"/>
    <col min="3" max="3" width="10.5546875" bestFit="1" customWidth="1"/>
    <col min="4" max="4" width="15.77734375" bestFit="1" customWidth="1"/>
    <col min="5" max="5" width="10.6640625" bestFit="1" customWidth="1"/>
    <col min="6" max="6" width="15.44140625" bestFit="1" customWidth="1"/>
    <col min="7" max="7" width="17" bestFit="1" customWidth="1"/>
    <col min="8" max="8" width="12.109375" bestFit="1" customWidth="1"/>
    <col min="9" max="9" width="13.5546875" bestFit="1" customWidth="1"/>
    <col min="10" max="10" width="11.44140625" bestFit="1" customWidth="1"/>
    <col min="11" max="11" width="17.6640625" bestFit="1" customWidth="1"/>
    <col min="13" max="13" width="10.88671875" bestFit="1" customWidth="1"/>
  </cols>
  <sheetData>
    <row r="1" spans="1:16" x14ac:dyDescent="0.3">
      <c r="A1" s="7" t="s">
        <v>127</v>
      </c>
      <c r="B1" s="7" t="s">
        <v>31</v>
      </c>
      <c r="C1" s="7" t="s">
        <v>128</v>
      </c>
      <c r="D1" s="7" t="s">
        <v>33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  <c r="J1" s="7" t="s">
        <v>134</v>
      </c>
      <c r="K1" s="7" t="s">
        <v>135</v>
      </c>
      <c r="L1" s="9" t="s">
        <v>84</v>
      </c>
      <c r="M1" s="9" t="s">
        <v>151</v>
      </c>
      <c r="N1" s="9" t="s">
        <v>86</v>
      </c>
      <c r="O1" s="9" t="s">
        <v>87</v>
      </c>
      <c r="P1" s="9" t="s">
        <v>88</v>
      </c>
    </row>
    <row r="2" spans="1:16" x14ac:dyDescent="0.3">
      <c r="A2" s="3" t="s">
        <v>40</v>
      </c>
      <c r="B2" s="3" t="s">
        <v>79</v>
      </c>
      <c r="C2" s="3">
        <v>45000</v>
      </c>
      <c r="D2" s="3" t="s">
        <v>136</v>
      </c>
      <c r="E2" s="3" t="s">
        <v>137</v>
      </c>
      <c r="F2" s="3" t="s">
        <v>3</v>
      </c>
      <c r="G2" s="3">
        <v>50000</v>
      </c>
      <c r="H2" s="3" t="s">
        <v>38</v>
      </c>
      <c r="I2" s="3">
        <v>25</v>
      </c>
      <c r="J2" s="3">
        <v>1</v>
      </c>
      <c r="K2" s="3" t="s">
        <v>138</v>
      </c>
      <c r="L2" s="3">
        <f>INDEX(C2:C6, MATCH("E101", A2:A6, 0))</f>
        <v>45000</v>
      </c>
      <c r="M2" s="3" t="str">
        <f>INDEX(E2:E6, MATCH("C201", D2:D6, 0))</f>
        <v>Ahmedabad</v>
      </c>
      <c r="N2" s="3">
        <f>INDEX(G2:G6, MATCH(F2, F2:F6, 0))</f>
        <v>50000</v>
      </c>
      <c r="O2" s="10">
        <f>INDEX(I2:I6, MATCH(H2, H2:H6, 0))</f>
        <v>25</v>
      </c>
      <c r="P2" s="10" t="str">
        <f t="shared" ref="P2:P6" si="0">INDEX(K2:K6, MATCH(J2, J2:J6, 0))</f>
        <v>Aisha</v>
      </c>
    </row>
    <row r="3" spans="1:16" x14ac:dyDescent="0.3">
      <c r="A3" s="3" t="s">
        <v>48</v>
      </c>
      <c r="B3" s="3" t="s">
        <v>139</v>
      </c>
      <c r="C3" s="3">
        <v>52000</v>
      </c>
      <c r="D3" s="3" t="s">
        <v>140</v>
      </c>
      <c r="E3" s="3" t="s">
        <v>141</v>
      </c>
      <c r="F3" s="3" t="s">
        <v>69</v>
      </c>
      <c r="G3" s="3">
        <v>65000</v>
      </c>
      <c r="H3" s="3" t="s">
        <v>46</v>
      </c>
      <c r="I3" s="3">
        <v>150</v>
      </c>
      <c r="J3" s="3">
        <v>2</v>
      </c>
      <c r="K3" s="3" t="s">
        <v>142</v>
      </c>
      <c r="L3" s="3">
        <f>INDEX(C2:C6, MATCH("E102", A2:A6, 0))</f>
        <v>52000</v>
      </c>
      <c r="M3" s="3" t="str">
        <f>INDEX(E2:E6, MATCH("C202", D2:D6, 0))</f>
        <v>Mumbai</v>
      </c>
      <c r="N3" s="3">
        <f t="shared" ref="N2:N6" si="1">INDEX(G3:G7, MATCH(F3, F3:F7, 0))</f>
        <v>65000</v>
      </c>
      <c r="O3" s="10">
        <f t="shared" ref="O2:O6" si="2">INDEX(I3:I7, MATCH(H3, H3:H7, 0))</f>
        <v>150</v>
      </c>
      <c r="P3" s="10" t="str">
        <f t="shared" si="0"/>
        <v>Rohan</v>
      </c>
    </row>
    <row r="4" spans="1:16" x14ac:dyDescent="0.3">
      <c r="A4" s="3" t="s">
        <v>58</v>
      </c>
      <c r="B4" s="3" t="s">
        <v>59</v>
      </c>
      <c r="C4" s="3">
        <v>48000</v>
      </c>
      <c r="D4" s="3" t="s">
        <v>143</v>
      </c>
      <c r="E4" s="3" t="s">
        <v>144</v>
      </c>
      <c r="F4" s="3" t="s">
        <v>5</v>
      </c>
      <c r="G4" s="3">
        <v>42000</v>
      </c>
      <c r="H4" s="3" t="s">
        <v>56</v>
      </c>
      <c r="I4" s="3">
        <v>80</v>
      </c>
      <c r="J4" s="3">
        <v>3</v>
      </c>
      <c r="K4" s="3" t="s">
        <v>145</v>
      </c>
      <c r="L4" s="3">
        <f>INDEX(C2:C6, MATCH("E103", A2:A6, 0))</f>
        <v>48000</v>
      </c>
      <c r="M4" s="3" t="str">
        <f>INDEX(E2:E6, MATCH("C203", D2:D6, 0))</f>
        <v>Delhi</v>
      </c>
      <c r="N4" s="3">
        <f t="shared" si="1"/>
        <v>42000</v>
      </c>
      <c r="O4" s="10">
        <f t="shared" si="2"/>
        <v>80</v>
      </c>
      <c r="P4" s="10" t="str">
        <f t="shared" si="0"/>
        <v>Meera</v>
      </c>
    </row>
    <row r="5" spans="1:16" x14ac:dyDescent="0.3">
      <c r="A5" s="3" t="s">
        <v>68</v>
      </c>
      <c r="B5" s="3" t="s">
        <v>72</v>
      </c>
      <c r="C5" s="3">
        <v>55000</v>
      </c>
      <c r="D5" s="3" t="s">
        <v>146</v>
      </c>
      <c r="E5" s="3" t="s">
        <v>147</v>
      </c>
      <c r="F5" s="3" t="s">
        <v>81</v>
      </c>
      <c r="G5" s="3">
        <v>72000</v>
      </c>
      <c r="H5" s="3" t="s">
        <v>66</v>
      </c>
      <c r="I5" s="3">
        <v>40</v>
      </c>
      <c r="J5" s="3">
        <v>4</v>
      </c>
      <c r="K5" s="3" t="s">
        <v>4</v>
      </c>
      <c r="L5" s="3">
        <f>INDEX(C2:C6, MATCH("E103", A2:A6, 0))</f>
        <v>48000</v>
      </c>
      <c r="M5" s="3" t="str">
        <f>INDEX(E2:E6, MATCH("C204", D2:D6, 0))</f>
        <v>Pune</v>
      </c>
      <c r="N5" s="3">
        <f t="shared" si="1"/>
        <v>72000</v>
      </c>
      <c r="O5" s="10">
        <f t="shared" si="2"/>
        <v>40</v>
      </c>
      <c r="P5" s="10" t="str">
        <f t="shared" si="0"/>
        <v>Arjun</v>
      </c>
    </row>
    <row r="6" spans="1:16" x14ac:dyDescent="0.3">
      <c r="A6" s="3" t="s">
        <v>78</v>
      </c>
      <c r="B6" s="3" t="s">
        <v>4</v>
      </c>
      <c r="C6" s="3">
        <v>60000</v>
      </c>
      <c r="D6" s="3" t="s">
        <v>148</v>
      </c>
      <c r="E6" s="3" t="s">
        <v>149</v>
      </c>
      <c r="F6" s="3" t="s">
        <v>52</v>
      </c>
      <c r="G6" s="3">
        <v>58000</v>
      </c>
      <c r="H6" s="3" t="s">
        <v>76</v>
      </c>
      <c r="I6" s="3">
        <v>30</v>
      </c>
      <c r="J6" s="3">
        <v>5</v>
      </c>
      <c r="K6" s="3" t="s">
        <v>150</v>
      </c>
      <c r="L6" s="3">
        <f>INDEX(C2:C6, MATCH("E105", A2:A6, 0))</f>
        <v>60000</v>
      </c>
      <c r="M6" s="3" t="str">
        <f>INDEX(E2:E6, MATCH("C205", D2:D6, 0))</f>
        <v>Jaipur</v>
      </c>
      <c r="N6" s="3">
        <f t="shared" si="1"/>
        <v>58000</v>
      </c>
      <c r="O6" s="10">
        <f t="shared" si="2"/>
        <v>30</v>
      </c>
      <c r="P6" s="10" t="str">
        <f t="shared" si="0"/>
        <v>Kavya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IndexAndMatch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2026-03-10T11:22:08Z</dcterms:created>
  <dcterms:modified xsi:type="dcterms:W3CDTF">2026-03-12T12:06:47Z</dcterms:modified>
</cp:coreProperties>
</file>
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23040" windowHeight="91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H2" i="1"/>
  <c r="H3" i="1" l="1"/>
  <c r="H4" i="1"/>
  <c r="H5" i="1"/>
  <c r="H6" i="1"/>
  <c r="H7" i="1"/>
  <c r="H8" i="1"/>
  <c r="H9" i="1"/>
  <c r="H10" i="1"/>
  <c r="H11" i="1"/>
  <c r="H12" i="1"/>
  <c r="H13" i="1"/>
  <c r="F2" i="1"/>
  <c r="F3" i="1"/>
  <c r="F4" i="1"/>
  <c r="F5" i="1"/>
  <c r="F6" i="1"/>
  <c r="F7" i="1"/>
  <c r="F8" i="1"/>
  <c r="F9" i="1"/>
  <c r="F10" i="1"/>
  <c r="F11" i="1"/>
  <c r="F12" i="1"/>
  <c r="F13" i="1"/>
  <c r="D2" i="1"/>
  <c r="D4" i="1"/>
  <c r="D5" i="1"/>
  <c r="D6" i="1"/>
  <c r="D7" i="1"/>
  <c r="D8" i="1"/>
  <c r="D9" i="1"/>
  <c r="D10" i="1"/>
  <c r="D11" i="1"/>
  <c r="D12" i="1"/>
  <c r="D13" i="1"/>
  <c r="D3" i="1"/>
  <c r="C2" i="1"/>
  <c r="C3" i="1"/>
  <c r="C4" i="1"/>
  <c r="C5" i="1"/>
  <c r="C6" i="1"/>
  <c r="C7" i="1"/>
  <c r="C8" i="1"/>
  <c r="C9" i="1"/>
  <c r="C10" i="1"/>
  <c r="C11" i="1"/>
  <c r="C12" i="1"/>
  <c r="C13" i="1"/>
</calcChain>
</file>

<file path=xl/sharedStrings.xml><?xml version="1.0" encoding="utf-8"?>
<sst xmlns="http://schemas.openxmlformats.org/spreadsheetml/2006/main" count="21" uniqueCount="21">
  <si>
    <t>Students</t>
  </si>
  <si>
    <t>Scores</t>
  </si>
  <si>
    <t>Anil</t>
  </si>
  <si>
    <t>Amit</t>
  </si>
  <si>
    <t>Arjun</t>
  </si>
  <si>
    <t>Raj</t>
  </si>
  <si>
    <t>Rajesh</t>
  </si>
  <si>
    <t>Mitesh</t>
  </si>
  <si>
    <t>Meet</t>
  </si>
  <si>
    <t>Jay</t>
  </si>
  <si>
    <t>Jayesh</t>
  </si>
  <si>
    <t>Bhavik</t>
  </si>
  <si>
    <t>Bhavin</t>
  </si>
  <si>
    <t>Bhumit</t>
  </si>
  <si>
    <t>Result</t>
  </si>
  <si>
    <t>Gread</t>
  </si>
  <si>
    <t>Date</t>
  </si>
  <si>
    <t>Day</t>
  </si>
  <si>
    <t>Sales</t>
  </si>
  <si>
    <t>commission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</si>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</sst>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horizontal="right" vertical="center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3" totalsRowShown="0">
  <autoFilter ref="A1:I13"/>
  <tableColumns count="9">
    <tableColumn id="1" name="Students"/>
    <tableColumn id="2" name="Scores"/>
    <tableColumn id="3" name="Result" dataDxfId="5">
      <calculatedColumnFormula>IF(B2&gt;50, "Pass", "Fail")</calculatedColumnFormula>
    </tableColumn>
    <tableColumn id="4" name="Gread" dataDxfId="4">
      <calculatedColumnFormula>IF(B2&gt;=90,"A",IF(B2&gt;=80,"B",IF(B2&gt;=70,"C",IF(B2&gt;=60,"D","F"))))</calculatedColumnFormula>
    </tableColumn>
    <tableColumn id="5" name="Date"/>
    <tableColumn id="6" name="Day" dataDxfId="3">
      <calculatedColumnFormula>IF(WEEKDAY(E2,2)&gt;5,"Weekend","Weekday")</calculatedColumnFormula>
    </tableColumn>
    <tableColumn id="7" name="Sales" dataDxfId="2"/>
    <tableColumn id="8" name="commission" dataDxfId="1">
      <calculatedColumnFormula>IF(G2&gt;5000,G2*5%,IF(G2&gt;=2000,G2*3%,G2*1%))</calculatedColumnFormula>
    </tableColumn>
    <tableColumn id="9" name="Expense" dataDxfId="0">
      <calculatedColumnFormula>IF(G2&gt;1000,"High",IF(G2&gt;=500,"Medium","Low"))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205" zoomScaleNormal="205" workbookViewId="0">
      <selection activeCell="J7" sqref="J7"/>
    </sheetView>
  </sheetViews>
  <sheetFormatPr defaultRowHeight="14.4" x14ac:dyDescent="0.3"/>
  <cols>
    <col min="1" max="2" width="10.44140625" customWidth="1"/>
    <col min="5" max="5" width="10.88671875" bestFit="1" customWidth="1"/>
    <col min="8" max="8" width="13.21875" bestFit="1" customWidth="1"/>
  </cols>
  <sheetData>
    <row r="1" spans="1:9" x14ac:dyDescent="0.3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3">
      <c r="A2" s="4" t="s">
        <v>2</v>
      </c>
      <c r="B2" s="4">
        <v>87</v>
      </c>
      <c r="C2" s="4" t="str">
        <f t="shared" ref="C2:C13" si="0">IF(B2&gt;50, "Pass", "Fail")</f>
        <v>Pass</v>
      </c>
      <c r="D2" s="4" t="str">
        <f>IF(B2&gt;=90,"A",IF(B2&gt;=80,"B",IF(B2&gt;=70,"C",IF(B2&gt;=60,"D","F"))))</f>
        <v>B</v>
      </c>
      <c r="E2" s="5">
        <v>46096</v>
      </c>
      <c r="F2" s="4" t="str">
        <f t="shared" ref="F2:F13" si="1">IF(WEEKDAY(E2,2)&gt;5,"Weekend","Weekday")</f>
        <v>Weekend</v>
      </c>
      <c r="G2" s="6">
        <v>300</v>
      </c>
      <c r="H2" s="2">
        <f>IF(G2&gt;5000,G2*5%,IF(G2&gt;=2000,G2*3%,G2*1%))</f>
        <v>3</v>
      </c>
      <c r="I2" s="3" t="str">
        <f>IF(G2&gt;1000,"High",IF(G2&gt;=500,"Medium","Low"))</f>
        <v>Low</v>
      </c>
    </row>
    <row r="3" spans="1:9" x14ac:dyDescent="0.3">
      <c r="A3" t="s">
        <v>3</v>
      </c>
      <c r="B3">
        <v>54</v>
      </c>
      <c r="C3" t="str">
        <f t="shared" si="0"/>
        <v>Pass</v>
      </c>
      <c r="D3" t="str">
        <f>IF(B3&gt;=90,"A",IF(B3&gt;=80,"B",IF(B3&gt;=70,"C",IF(B3&gt;=60,"D","F"))))</f>
        <v>F</v>
      </c>
      <c r="E3" s="1">
        <v>46085</v>
      </c>
      <c r="F3" t="str">
        <f t="shared" si="1"/>
        <v>Weekday</v>
      </c>
      <c r="G3" s="3">
        <v>650</v>
      </c>
      <c r="H3" s="2">
        <f t="shared" ref="H3:H13" si="2">IF(G3&gt;5000,G3*5%,IF(G3&gt;=2000,G3*3%,G3*1%))</f>
        <v>6.5</v>
      </c>
      <c r="I3" s="3" t="str">
        <f t="shared" ref="I3:I13" si="3">IF(G3&gt;1000,"High",IF(G3&gt;=500,"Medium","Low"))</f>
        <v>Medium</v>
      </c>
    </row>
    <row r="4" spans="1:9" x14ac:dyDescent="0.3">
      <c r="A4" t="s">
        <v>4</v>
      </c>
      <c r="B4">
        <v>65</v>
      </c>
      <c r="C4" t="str">
        <f t="shared" si="0"/>
        <v>Pass</v>
      </c>
      <c r="D4" t="str">
        <f t="shared" ref="D4:D13" si="4">IF(B4&gt;=90,"A",IF(B4&gt;=80,"B",IF(B4&gt;=70,"C",IF(B4&gt;=60,"D","F"))))</f>
        <v>D</v>
      </c>
      <c r="E4" s="1">
        <v>46088</v>
      </c>
      <c r="F4" t="str">
        <f t="shared" si="1"/>
        <v>Weekend</v>
      </c>
      <c r="G4" s="3">
        <v>2500</v>
      </c>
      <c r="H4" s="2">
        <f t="shared" si="2"/>
        <v>75</v>
      </c>
      <c r="I4" s="3" t="str">
        <f t="shared" si="3"/>
        <v>High</v>
      </c>
    </row>
    <row r="5" spans="1:9" x14ac:dyDescent="0.3">
      <c r="A5" t="s">
        <v>5</v>
      </c>
      <c r="B5">
        <v>23</v>
      </c>
      <c r="C5" t="str">
        <f t="shared" si="0"/>
        <v>Fail</v>
      </c>
      <c r="D5" t="str">
        <f t="shared" si="4"/>
        <v>F</v>
      </c>
      <c r="E5" s="1">
        <v>46089</v>
      </c>
      <c r="F5" t="str">
        <f t="shared" si="1"/>
        <v>Weekend</v>
      </c>
      <c r="G5" s="3">
        <v>4800</v>
      </c>
      <c r="H5" s="2">
        <f t="shared" si="2"/>
        <v>144</v>
      </c>
      <c r="I5" s="3" t="str">
        <f t="shared" si="3"/>
        <v>High</v>
      </c>
    </row>
    <row r="6" spans="1:9" x14ac:dyDescent="0.3">
      <c r="A6" t="s">
        <v>6</v>
      </c>
      <c r="B6">
        <v>76</v>
      </c>
      <c r="C6" t="str">
        <f t="shared" si="0"/>
        <v>Pass</v>
      </c>
      <c r="D6" t="str">
        <f t="shared" si="4"/>
        <v>C</v>
      </c>
      <c r="E6" s="1">
        <v>46090</v>
      </c>
      <c r="F6" t="str">
        <f t="shared" si="1"/>
        <v>Weekday</v>
      </c>
      <c r="G6" s="3">
        <v>5200</v>
      </c>
      <c r="H6" s="2">
        <f t="shared" si="2"/>
        <v>260</v>
      </c>
      <c r="I6" s="3" t="str">
        <f t="shared" si="3"/>
        <v>High</v>
      </c>
    </row>
    <row r="7" spans="1:9" x14ac:dyDescent="0.3">
      <c r="A7" t="s">
        <v>7</v>
      </c>
      <c r="B7">
        <v>98</v>
      </c>
      <c r="C7" t="str">
        <f t="shared" si="0"/>
        <v>Pass</v>
      </c>
      <c r="D7" t="str">
        <f t="shared" si="4"/>
        <v>A</v>
      </c>
      <c r="E7" s="1">
        <v>46096</v>
      </c>
      <c r="F7" t="str">
        <f t="shared" si="1"/>
        <v>Weekend</v>
      </c>
      <c r="G7" s="3">
        <v>8000</v>
      </c>
      <c r="H7" s="2">
        <f t="shared" si="2"/>
        <v>400</v>
      </c>
      <c r="I7" s="3" t="str">
        <f t="shared" si="3"/>
        <v>High</v>
      </c>
    </row>
    <row r="8" spans="1:9" x14ac:dyDescent="0.3">
      <c r="A8" t="s">
        <v>8</v>
      </c>
      <c r="B8">
        <v>43</v>
      </c>
      <c r="C8" t="str">
        <f t="shared" si="0"/>
        <v>Fail</v>
      </c>
      <c r="D8" t="str">
        <f t="shared" si="4"/>
        <v>F</v>
      </c>
      <c r="E8" s="1">
        <v>46085</v>
      </c>
      <c r="F8" t="str">
        <f t="shared" si="1"/>
        <v>Weekday</v>
      </c>
      <c r="G8" s="3">
        <v>9110</v>
      </c>
      <c r="H8" s="2">
        <f t="shared" si="2"/>
        <v>455.5</v>
      </c>
      <c r="I8" s="3" t="str">
        <f t="shared" si="3"/>
        <v>High</v>
      </c>
    </row>
    <row r="9" spans="1:9" x14ac:dyDescent="0.3">
      <c r="A9" t="s">
        <v>9</v>
      </c>
      <c r="B9">
        <v>67</v>
      </c>
      <c r="C9" t="str">
        <f t="shared" si="0"/>
        <v>Pass</v>
      </c>
      <c r="D9" t="str">
        <f t="shared" si="4"/>
        <v>D</v>
      </c>
      <c r="E9" s="1">
        <v>46088</v>
      </c>
      <c r="F9" t="str">
        <f t="shared" si="1"/>
        <v>Weekend</v>
      </c>
      <c r="G9" s="3">
        <v>10680</v>
      </c>
      <c r="H9" s="2">
        <f t="shared" si="2"/>
        <v>534</v>
      </c>
      <c r="I9" s="3" t="str">
        <f t="shared" si="3"/>
        <v>High</v>
      </c>
    </row>
    <row r="10" spans="1:9" x14ac:dyDescent="0.3">
      <c r="A10" t="s">
        <v>10</v>
      </c>
      <c r="B10">
        <v>54</v>
      </c>
      <c r="C10" t="str">
        <f t="shared" si="0"/>
        <v>Pass</v>
      </c>
      <c r="D10" t="str">
        <f t="shared" si="4"/>
        <v>F</v>
      </c>
      <c r="E10" s="1">
        <v>46089</v>
      </c>
      <c r="F10" t="str">
        <f t="shared" si="1"/>
        <v>Weekend</v>
      </c>
      <c r="G10" s="3">
        <v>12250</v>
      </c>
      <c r="H10" s="2">
        <f t="shared" si="2"/>
        <v>612.5</v>
      </c>
      <c r="I10" s="3" t="str">
        <f t="shared" si="3"/>
        <v>High</v>
      </c>
    </row>
    <row r="11" spans="1:9" x14ac:dyDescent="0.3">
      <c r="A11" t="s">
        <v>11</v>
      </c>
      <c r="B11">
        <v>8</v>
      </c>
      <c r="C11" t="str">
        <f t="shared" si="0"/>
        <v>Fail</v>
      </c>
      <c r="D11" t="str">
        <f t="shared" si="4"/>
        <v>F</v>
      </c>
      <c r="E11" s="1">
        <v>46090</v>
      </c>
      <c r="F11" t="str">
        <f t="shared" si="1"/>
        <v>Weekday</v>
      </c>
      <c r="G11" s="3">
        <v>13820</v>
      </c>
      <c r="H11" s="2">
        <f t="shared" si="2"/>
        <v>691</v>
      </c>
      <c r="I11" s="3" t="str">
        <f t="shared" si="3"/>
        <v>High</v>
      </c>
    </row>
    <row r="12" spans="1:9" x14ac:dyDescent="0.3">
      <c r="A12" t="s">
        <v>12</v>
      </c>
      <c r="B12">
        <v>5</v>
      </c>
      <c r="C12" t="str">
        <f t="shared" si="0"/>
        <v>Fail</v>
      </c>
      <c r="D12" t="str">
        <f t="shared" si="4"/>
        <v>F</v>
      </c>
      <c r="E12" s="1">
        <v>46089</v>
      </c>
      <c r="F12" t="str">
        <f t="shared" si="1"/>
        <v>Weekend</v>
      </c>
      <c r="G12" s="3">
        <v>15390</v>
      </c>
      <c r="H12" s="2">
        <f t="shared" si="2"/>
        <v>769.5</v>
      </c>
      <c r="I12" s="3" t="str">
        <f t="shared" si="3"/>
        <v>High</v>
      </c>
    </row>
    <row r="13" spans="1:9" x14ac:dyDescent="0.3">
      <c r="A13" t="s">
        <v>13</v>
      </c>
      <c r="B13">
        <v>99</v>
      </c>
      <c r="C13" t="str">
        <f t="shared" si="0"/>
        <v>Pass</v>
      </c>
      <c r="D13" t="str">
        <f t="shared" si="4"/>
        <v>A</v>
      </c>
      <c r="E13" s="1">
        <v>46090</v>
      </c>
      <c r="F13" t="str">
        <f t="shared" si="1"/>
        <v>Weekday</v>
      </c>
      <c r="G13" s="3">
        <v>16960</v>
      </c>
      <c r="H13" s="2">
        <f t="shared" si="2"/>
        <v>848</v>
      </c>
      <c r="I13" s="3" t="str">
        <f t="shared" si="3"/>
        <v>High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2026-03-10T11:22:08Z</dcterms:created>
  <dcterms:modified xsi:type="dcterms:W3CDTF">2026-03-11T11:35:48Z</dcterms:modified>
</cp:coreProperties>
</file>
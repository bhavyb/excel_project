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2"/>
  </bookViews>
  <sheets>
    <sheet name="Students Gread" sheetId="1" r:id="rId1"/>
    <sheet name="Sales Data" sheetId="2" r:id="rId2"/>
    <sheet name="Employee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<sst xmlns="http://schemas.openxmlformats.org/spreadsheetml/2006/main" count="172" uniqueCount="119">
  <si>
    <t>PR. 1 Fundamental Booster</t>
  </si>
  <si>
    <t>Student ID</t>
  </si>
  <si>
    <t>Name</t>
  </si>
  <si>
    <t>Math</t>
  </si>
  <si>
    <t>Science</t>
  </si>
  <si>
    <t>English</t>
  </si>
  <si>
    <t>avg</t>
  </si>
  <si>
    <t>Enrollment Date</t>
  </si>
  <si>
    <t xml:space="preserve"> 1. Apply IF formulas to classify student grades.
</t>
  </si>
  <si>
    <t xml:space="preserve"> 2. Use COUNTIFS to count students scoring above 60.
</t>
  </si>
  <si>
    <t>Classify students' 
grades based on 
their scores.</t>
  </si>
  <si>
    <t>Identify students who scored above 
80 in both Math &amp; Science using 
IF(AND(...)).</t>
  </si>
  <si>
    <t>Count the number 
of students who 
scored above 
50 in Math.</t>
  </si>
  <si>
    <t>Calculate the 
average score for students who scored 
above 60.</t>
  </si>
  <si>
    <t>Fetch student 
names based 
on ID from a 
separate dataset.</t>
  </si>
  <si>
    <t>Extract the 
first name 
from full 
names using 
LEFT and FIND.</t>
  </si>
  <si>
    <t>Use ROUND(), CEILING(),
and FLOOR() for 
financial calculations.</t>
  </si>
  <si>
    <t>Extract a list of top-performing students based  on scores.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</si>
  <si>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</si>
  <si>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</si>
  <si>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</si>
  <si>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</si>
  <si>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</si>
  <si>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</si>
  <si>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</si>
  <si>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</si>
  <si>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</si>
  <si>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</si>
  <si>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</si>
  <si>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</si>
  <si>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 xml:space="preserve"> 6. Use FILTER function to extract students with grades above 80.
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</si>
  <si>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</si>
  <si>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</si>
  <si>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</si>
  <si>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</si>
  <si>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</si>
  <si>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</si>
  <si>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</si>
  <si>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</si>
  <si>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</si>
  <si>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</si>
  <si>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</si>
  <si>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</si>
  <si>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</si>
  <si>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</si>
  <si>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 xml:space="preserve"> 3. Use VLOOKUP to find a product price from sales data.
</t>
  </si>
  <si>
    <t>Compute discounts
for sales based on 
price thresholds.</t>
  </si>
  <si>
    <t>Determine whether
a product is eligible 
for discount using IF(OR(...)).</t>
  </si>
  <si>
    <t>Sum total 
sales for a 
specific region 
and product.</t>
  </si>
  <si>
    <t>Retrieve product
prices based on 
product codes.</t>
  </si>
  <si>
    <t>Find sales values 
for a specific 
salesperson in a 
specific month.</t>
  </si>
  <si>
    <t>Search for salesperson 
performance based on 
flexible search criteria.</t>
  </si>
  <si>
    <t>Find the position 
of a product in a 
sales list.</t>
  </si>
  <si>
    <t>Create dynamic 
ranges for sales 
trends.</t>
  </si>
  <si>
    <t>Keyboard</t>
  </si>
  <si>
    <t>South</t>
  </si>
  <si>
    <t>Person 1</t>
  </si>
  <si>
    <t>East</t>
  </si>
  <si>
    <t>Printer</t>
  </si>
  <si>
    <t>West</t>
  </si>
  <si>
    <t>Person 2</t>
  </si>
  <si>
    <t>Mouse</t>
  </si>
  <si>
    <t>Person 3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</si>
  <si>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</si>
  <si>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</si>
  <si>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</si>
  <si>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</si>
  <si>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</si>
  <si>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</si>
  <si>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</si>
  <si>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</si>
  <si>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</si>
  <si>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</si>
  <si>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</si>
  <si>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</si>
  <si>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</si>
  <si>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</si>
  <si>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</si>
  <si>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</si>
  <si>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</si>
  <si>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</si>
  <si>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</si>
  <si>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</si>
  <si>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</si>
  <si>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</si>
  <si>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</si>
  <si>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</si>
  <si>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 xml:space="preserve"> 4. Apply XLOOKUP to fetch employee salaries dynamically.
</t>
  </si>
  <si>
    <t>Look up employee
details dynamically 
without column 
restrictions.</t>
  </si>
  <si>
    <t>Convert names to 
uppercase/lowercase using UPPER(), LOWER().</t>
  </si>
  <si>
    <t>Find employee
salaries without 
worrying about 
sorted data.</t>
  </si>
  <si>
    <t>Dynamically reference
a cell range using INDIRECT.</t>
  </si>
  <si>
    <t>Calculate age 
from date of 
birth.</t>
  </si>
  <si>
    <t>Find the difference 
in days between 
two dates.</t>
  </si>
  <si>
    <t xml:space="preserve"> 5. Format and analyze date of joining in Employee data.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</si>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</sst>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</font>
    <font>
      <b/>
      <i/>
      <u/>
      <sz val="28"/>
      <color rgb="FFFF000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22" fontId="3" fillId="0" borderId="4" xfId="0" applyNumberFormat="1" applyFont="1" applyBorder="1" applyAlignment="1">
      <alignment horizontal="center" vertical="center" wrapText="1" readingOrder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 readingOrder="1"/>
    </xf>
    <xf numFmtId="0" fontId="2" fillId="5" borderId="0" xfId="0" applyFont="1" applyFill="1" applyAlignment="1">
      <alignment vertical="center" wrapText="1"/>
    </xf>
    <xf numFmtId="0" fontId="2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7"/>
  <sheetViews>
    <sheetView zoomScale="85" zoomScaleNormal="85" topLeftCell="P2" workbookViewId="0">
      <selection activeCell="AA8" sqref="AA8"/>
    </sheetView>
  </sheetViews>
  <sheetFormatPr defaultColWidth="8.88888888888889" defaultRowHeight="14.4"/>
  <cols>
    <col min="1" max="1" width="10.2222222222222" customWidth="1"/>
    <col min="7" max="7" width="17" customWidth="1"/>
    <col min="8" max="8" width="18.5555555555556" customWidth="1"/>
    <col min="9" max="9" width="19" customWidth="1"/>
    <col min="15" max="15" width="15.2314814814815" customWidth="1"/>
    <col min="17" max="17" width="14.2222222222222" customWidth="1"/>
    <col min="19" max="19" width="29.6666666666667" customWidth="1"/>
    <col min="20" max="20" width="15.4444444444444" customWidth="1"/>
    <col min="21" max="21" width="18" customWidth="1"/>
    <col min="22" max="22" width="15" customWidth="1"/>
    <col min="23" max="23" width="16.0185185185185" customWidth="1"/>
    <col min="24" max="24" width="20.8888888888889" customWidth="1"/>
    <col min="27" max="27" width="15.0740740740741" customWidth="1"/>
  </cols>
  <sheetData>
    <row r="1" spans="1: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6" ht="15.15"/>
    <row r="7" ht="72.75" spans="1:33">
      <c r="A7" s="1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7" t="s">
        <v>8</v>
      </c>
      <c r="I7" s="15" t="s">
        <v>9</v>
      </c>
      <c r="J7" s="15"/>
      <c r="K7" s="15"/>
      <c r="L7" s="15"/>
      <c r="M7" s="15"/>
      <c r="N7" s="15"/>
      <c r="O7" s="15"/>
      <c r="Q7" s="7" t="s">
        <v>10</v>
      </c>
      <c r="R7" s="16"/>
      <c r="S7" s="10" t="s">
        <v>11</v>
      </c>
      <c r="T7" s="7" t="s">
        <v>12</v>
      </c>
      <c r="U7" s="10" t="s">
        <v>13</v>
      </c>
      <c r="V7" s="7" t="s">
        <v>14</v>
      </c>
      <c r="W7" s="10" t="s">
        <v>15</v>
      </c>
      <c r="X7" s="8" t="s">
        <v>16</v>
      </c>
      <c r="Y7" s="8"/>
      <c r="Z7" s="8"/>
      <c r="AA7" s="15" t="s">
        <v>17</v>
      </c>
      <c r="AB7" s="15"/>
      <c r="AC7" s="15"/>
      <c r="AD7" s="15"/>
      <c r="AE7" s="15"/>
      <c r="AF7" s="15"/>
      <c r="AG7" s="15"/>
    </row>
    <row r="8" ht="15.15" spans="1:33">
      <c r="A8" s="4">
        <v>1001</v>
      </c>
      <c r="B8" s="5" t="s">
        <v>18</v>
      </c>
      <c r="C8" s="5">
        <v>61</v>
      </c>
      <c r="D8" s="5">
        <v>48</v>
      </c>
      <c r="E8" s="5">
        <v>76</v>
      </c>
      <c r="F8" s="5">
        <v>61.66666667</v>
      </c>
      <c r="G8" s="6">
        <v>43101</v>
      </c>
      <c r="H8" s="14" t="str">
        <f>IF(F8&gt;=85,"A",IF(F8&gt;=70,"B",IF(F8&gt;=50,"C","Fail")))</f>
        <v>C</v>
      </c>
      <c r="I8" cm="1">
        <f t="array" ref="I8:O17">_xlfn._xlws.FILTER(A8:G27,C8:C27&gt;80)</f>
        <v>1003</v>
      </c>
      <c r="J8" t="str">
        <v>Student 3</v>
      </c>
      <c r="K8">
        <v>97</v>
      </c>
      <c r="L8">
        <v>60</v>
      </c>
      <c r="M8">
        <v>51</v>
      </c>
      <c r="N8">
        <v>69.33333333</v>
      </c>
      <c r="O8">
        <v>43461</v>
      </c>
      <c r="Q8" t="str">
        <f>IF(F8&gt;=90,"A",IF(F8&gt;=75,"B",IF(F8&gt;=60,"C","Fail")))</f>
        <v>C</v>
      </c>
      <c r="S8" t="str">
        <f>IF(AND(C8&gt;80,D8&gt;80),"Excellent","Normal")</f>
        <v>Normal</v>
      </c>
      <c r="T8">
        <f>COUNTIFS(C8:C27,"&gt;50")</f>
        <v>19</v>
      </c>
      <c r="U8">
        <f>AVERAGEIFS(F8:F27,F8:F27,"&gt;60")</f>
        <v>73.625</v>
      </c>
      <c r="V8" t="str">
        <f>VLOOKUP(A8,$A$8:$B$27,2,FALSE)</f>
        <v>Student 1</v>
      </c>
      <c r="W8" t="str">
        <f>LEFT(B8,FIND(" ",B8)-1)</f>
        <v>Student</v>
      </c>
      <c r="X8">
        <f>ROUND(F8,2)</f>
        <v>61.67</v>
      </c>
      <c r="Y8">
        <f>CEILING(E8,10)</f>
        <v>80</v>
      </c>
      <c r="Z8">
        <f>FLOOR(E8,10)</f>
        <v>70</v>
      </c>
      <c r="AA8" cm="1">
        <f t="array" ref="AA8:AG9">_xlfn._xlws.FILTER(A8:G27,F8:F27&gt;80)</f>
        <v>1012</v>
      </c>
      <c r="AB8" t="str">
        <v>Student 12</v>
      </c>
      <c r="AC8">
        <v>85</v>
      </c>
      <c r="AD8">
        <v>89</v>
      </c>
      <c r="AE8">
        <v>79</v>
      </c>
      <c r="AF8">
        <v>84.33333333</v>
      </c>
      <c r="AG8">
        <v>45081</v>
      </c>
    </row>
    <row r="9" ht="15.15" spans="1:33">
      <c r="A9" s="4">
        <v>1002</v>
      </c>
      <c r="B9" s="5" t="s">
        <v>19</v>
      </c>
      <c r="C9" s="5">
        <v>78</v>
      </c>
      <c r="D9" s="5">
        <v>76</v>
      </c>
      <c r="E9" s="5">
        <v>70</v>
      </c>
      <c r="F9" s="5">
        <v>74.66666667</v>
      </c>
      <c r="G9" s="6">
        <v>43281</v>
      </c>
      <c r="H9" t="str">
        <f t="shared" ref="H9:H27" si="0">IF(F9&gt;=85,"A",IF(F9&gt;=70,"B",IF(F9&gt;=50,"C","Fail")))</f>
        <v>B</v>
      </c>
      <c r="I9">
        <v>1008</v>
      </c>
      <c r="J9" t="str">
        <v>Student 8</v>
      </c>
      <c r="K9">
        <v>94</v>
      </c>
      <c r="L9">
        <v>67</v>
      </c>
      <c r="M9">
        <v>64</v>
      </c>
      <c r="N9">
        <v>75</v>
      </c>
      <c r="O9">
        <v>44361</v>
      </c>
      <c r="Q9" t="str">
        <f t="shared" ref="Q9:Q27" si="1">IF(F9&gt;=90,"A",IF(F9&gt;=75,"B",IF(F9&gt;=60,"C","Fail")))</f>
        <v>C</v>
      </c>
      <c r="S9" t="str">
        <f t="shared" ref="S9:S27" si="2">IF(AND(C9&gt;80,D9&gt;80),"Excellent","Normal")</f>
        <v>Normal</v>
      </c>
      <c r="T9">
        <f t="shared" ref="T9:T27" si="3">COUNTIFS(C9:C28,"&gt;50")</f>
        <v>18</v>
      </c>
      <c r="U9">
        <f t="shared" ref="U9:U18" si="4">AVERAGEIFS(F9:F28,F9:F28,"&gt;60")</f>
        <v>74.422222222</v>
      </c>
      <c r="V9" t="str">
        <f t="shared" ref="V9:V27" si="5">VLOOKUP(A9,$A$8:$B$27,2,FALSE)</f>
        <v>Student 2</v>
      </c>
      <c r="W9" t="str">
        <f t="shared" ref="W9:W27" si="6">LEFT(B9,FIND(" ",B9)-1)</f>
        <v>Student</v>
      </c>
      <c r="X9">
        <f t="shared" ref="X9:X27" si="7">ROUND(F9,2)</f>
        <v>74.67</v>
      </c>
      <c r="Y9">
        <f t="shared" ref="Y9:Y27" si="8">CEILING(E9,10)</f>
        <v>70</v>
      </c>
      <c r="Z9">
        <f t="shared" ref="Z9:Z27" si="9">FLOOR(E9,10)</f>
        <v>70</v>
      </c>
      <c r="AA9">
        <v>1013</v>
      </c>
      <c r="AB9" t="str">
        <v>Student 13</v>
      </c>
      <c r="AC9">
        <v>98</v>
      </c>
      <c r="AD9">
        <v>90</v>
      </c>
      <c r="AE9">
        <v>97</v>
      </c>
      <c r="AF9">
        <v>95</v>
      </c>
      <c r="AG9">
        <v>45261</v>
      </c>
    </row>
    <row r="10" ht="15.15" spans="1:26">
      <c r="A10" s="4">
        <v>1003</v>
      </c>
      <c r="B10" s="5" t="s">
        <v>20</v>
      </c>
      <c r="C10" s="5">
        <v>97</v>
      </c>
      <c r="D10" s="5">
        <v>60</v>
      </c>
      <c r="E10" s="5">
        <v>51</v>
      </c>
      <c r="F10" s="5">
        <v>69.33333333</v>
      </c>
      <c r="G10" s="6">
        <v>43461</v>
      </c>
      <c r="H10" t="str">
        <f t="shared" si="0"/>
        <v>C</v>
      </c>
      <c r="I10">
        <v>1010</v>
      </c>
      <c r="J10" t="str">
        <v>Student 10</v>
      </c>
      <c r="K10">
        <v>98</v>
      </c>
      <c r="L10">
        <v>54</v>
      </c>
      <c r="M10">
        <v>58</v>
      </c>
      <c r="N10">
        <v>70</v>
      </c>
      <c r="O10">
        <v>44721</v>
      </c>
      <c r="Q10" t="str">
        <f t="shared" si="1"/>
        <v>C</v>
      </c>
      <c r="S10" t="str">
        <f t="shared" si="2"/>
        <v>Normal</v>
      </c>
      <c r="T10">
        <f t="shared" si="3"/>
        <v>17</v>
      </c>
      <c r="U10">
        <f t="shared" si="4"/>
        <v>74.4047619042857</v>
      </c>
      <c r="V10" t="str">
        <f t="shared" si="5"/>
        <v>Student 3</v>
      </c>
      <c r="W10" t="str">
        <f t="shared" si="6"/>
        <v>Student</v>
      </c>
      <c r="X10">
        <f t="shared" si="7"/>
        <v>69.33</v>
      </c>
      <c r="Y10">
        <f t="shared" si="8"/>
        <v>60</v>
      </c>
      <c r="Z10">
        <f t="shared" si="9"/>
        <v>50</v>
      </c>
    </row>
    <row r="11" ht="15.15" spans="1:26">
      <c r="A11" s="4">
        <v>1004</v>
      </c>
      <c r="B11" s="5" t="s">
        <v>21</v>
      </c>
      <c r="C11" s="5">
        <v>74</v>
      </c>
      <c r="D11" s="5">
        <v>55</v>
      </c>
      <c r="E11" s="5">
        <v>46</v>
      </c>
      <c r="F11" s="5">
        <v>58.33333333</v>
      </c>
      <c r="G11" s="6">
        <v>43641</v>
      </c>
      <c r="H11" t="str">
        <f t="shared" si="0"/>
        <v>C</v>
      </c>
      <c r="I11">
        <v>1012</v>
      </c>
      <c r="J11" t="str">
        <v>Student 12</v>
      </c>
      <c r="K11">
        <v>85</v>
      </c>
      <c r="L11">
        <v>89</v>
      </c>
      <c r="M11">
        <v>79</v>
      </c>
      <c r="N11">
        <v>84.33333333</v>
      </c>
      <c r="O11">
        <v>45081</v>
      </c>
      <c r="Q11" t="str">
        <f t="shared" si="1"/>
        <v>Fail</v>
      </c>
      <c r="S11" t="str">
        <f t="shared" si="2"/>
        <v>Normal</v>
      </c>
      <c r="T11">
        <f t="shared" si="3"/>
        <v>16</v>
      </c>
      <c r="U11">
        <f t="shared" si="4"/>
        <v>74.7948717946154</v>
      </c>
      <c r="V11" t="str">
        <f t="shared" si="5"/>
        <v>Student 4</v>
      </c>
      <c r="W11" t="str">
        <f t="shared" si="6"/>
        <v>Student</v>
      </c>
      <c r="X11">
        <f t="shared" si="7"/>
        <v>58.33</v>
      </c>
      <c r="Y11">
        <f t="shared" si="8"/>
        <v>50</v>
      </c>
      <c r="Z11">
        <f t="shared" si="9"/>
        <v>40</v>
      </c>
    </row>
    <row r="12" ht="15.15" spans="1:26">
      <c r="A12" s="4">
        <v>1005</v>
      </c>
      <c r="B12" s="5" t="s">
        <v>22</v>
      </c>
      <c r="C12" s="5">
        <v>68</v>
      </c>
      <c r="D12" s="5">
        <v>74</v>
      </c>
      <c r="E12" s="5">
        <v>84</v>
      </c>
      <c r="F12" s="5">
        <v>75.33333333</v>
      </c>
      <c r="G12" s="6">
        <v>43821</v>
      </c>
      <c r="H12" t="str">
        <f t="shared" si="0"/>
        <v>B</v>
      </c>
      <c r="I12">
        <v>1013</v>
      </c>
      <c r="J12" t="str">
        <v>Student 13</v>
      </c>
      <c r="K12">
        <v>98</v>
      </c>
      <c r="L12">
        <v>90</v>
      </c>
      <c r="M12">
        <v>97</v>
      </c>
      <c r="N12">
        <v>95</v>
      </c>
      <c r="O12">
        <v>45261</v>
      </c>
      <c r="Q12" t="str">
        <f t="shared" si="1"/>
        <v>B</v>
      </c>
      <c r="S12" t="str">
        <f t="shared" si="2"/>
        <v>Normal</v>
      </c>
      <c r="T12">
        <f t="shared" si="3"/>
        <v>15</v>
      </c>
      <c r="U12">
        <f t="shared" si="4"/>
        <v>74.7948717946154</v>
      </c>
      <c r="V12" t="str">
        <f t="shared" si="5"/>
        <v>Student 5</v>
      </c>
      <c r="W12" t="str">
        <f t="shared" si="6"/>
        <v>Student</v>
      </c>
      <c r="X12">
        <f t="shared" si="7"/>
        <v>75.33</v>
      </c>
      <c r="Y12">
        <f t="shared" si="8"/>
        <v>90</v>
      </c>
      <c r="Z12">
        <f t="shared" si="9"/>
        <v>80</v>
      </c>
    </row>
    <row r="13" ht="15.15" spans="1:26">
      <c r="A13" s="4">
        <v>1006</v>
      </c>
      <c r="B13" s="5" t="s">
        <v>23</v>
      </c>
      <c r="C13" s="5">
        <v>80</v>
      </c>
      <c r="D13" s="5">
        <v>70</v>
      </c>
      <c r="E13" s="5">
        <v>65</v>
      </c>
      <c r="F13" s="5">
        <v>71.66666667</v>
      </c>
      <c r="G13" s="6">
        <v>44001</v>
      </c>
      <c r="H13" t="str">
        <f t="shared" si="0"/>
        <v>B</v>
      </c>
      <c r="I13">
        <v>1014</v>
      </c>
      <c r="J13" t="str">
        <v>Student 14</v>
      </c>
      <c r="K13">
        <v>93</v>
      </c>
      <c r="L13">
        <v>40</v>
      </c>
      <c r="M13">
        <v>44</v>
      </c>
      <c r="N13">
        <v>59</v>
      </c>
      <c r="O13">
        <v>45441</v>
      </c>
      <c r="Q13" t="str">
        <f t="shared" si="1"/>
        <v>C</v>
      </c>
      <c r="S13" t="str">
        <f t="shared" si="2"/>
        <v>Normal</v>
      </c>
      <c r="T13">
        <f t="shared" si="3"/>
        <v>14</v>
      </c>
      <c r="U13">
        <f t="shared" si="4"/>
        <v>74.75</v>
      </c>
      <c r="V13" t="str">
        <f t="shared" si="5"/>
        <v>Student 6</v>
      </c>
      <c r="W13" t="str">
        <f t="shared" si="6"/>
        <v>Student</v>
      </c>
      <c r="X13">
        <f t="shared" si="7"/>
        <v>71.67</v>
      </c>
      <c r="Y13">
        <f t="shared" si="8"/>
        <v>70</v>
      </c>
      <c r="Z13">
        <f t="shared" si="9"/>
        <v>60</v>
      </c>
    </row>
    <row r="14" ht="15.15" spans="1:26">
      <c r="A14" s="4">
        <v>1007</v>
      </c>
      <c r="B14" s="5" t="s">
        <v>24</v>
      </c>
      <c r="C14" s="5">
        <v>75</v>
      </c>
      <c r="D14" s="5">
        <v>47</v>
      </c>
      <c r="E14" s="5">
        <v>78</v>
      </c>
      <c r="F14" s="5">
        <v>66.66666667</v>
      </c>
      <c r="G14" s="6">
        <v>44181</v>
      </c>
      <c r="H14" t="str">
        <f t="shared" si="0"/>
        <v>C</v>
      </c>
      <c r="I14">
        <v>1016</v>
      </c>
      <c r="J14" t="str">
        <v>Student 16</v>
      </c>
      <c r="K14">
        <v>98</v>
      </c>
      <c r="L14">
        <v>77</v>
      </c>
      <c r="M14">
        <v>60</v>
      </c>
      <c r="N14">
        <v>78.33333333</v>
      </c>
      <c r="O14">
        <v>45801</v>
      </c>
      <c r="Q14" t="str">
        <f t="shared" si="1"/>
        <v>C</v>
      </c>
      <c r="S14" t="str">
        <f t="shared" si="2"/>
        <v>Normal</v>
      </c>
      <c r="T14">
        <f t="shared" si="3"/>
        <v>13</v>
      </c>
      <c r="U14">
        <f t="shared" si="4"/>
        <v>75.03030303</v>
      </c>
      <c r="V14" t="str">
        <f t="shared" si="5"/>
        <v>Student 7</v>
      </c>
      <c r="W14" t="str">
        <f t="shared" si="6"/>
        <v>Student</v>
      </c>
      <c r="X14">
        <f t="shared" si="7"/>
        <v>66.67</v>
      </c>
      <c r="Y14">
        <f t="shared" si="8"/>
        <v>80</v>
      </c>
      <c r="Z14">
        <f t="shared" si="9"/>
        <v>70</v>
      </c>
    </row>
    <row r="15" ht="15.15" spans="1:26">
      <c r="A15" s="4">
        <v>1008</v>
      </c>
      <c r="B15" s="5" t="s">
        <v>25</v>
      </c>
      <c r="C15" s="5">
        <v>94</v>
      </c>
      <c r="D15" s="5">
        <v>67</v>
      </c>
      <c r="E15" s="5">
        <v>64</v>
      </c>
      <c r="F15" s="5">
        <v>75</v>
      </c>
      <c r="G15" s="6">
        <v>44361</v>
      </c>
      <c r="H15" t="str">
        <f t="shared" si="0"/>
        <v>B</v>
      </c>
      <c r="I15">
        <v>1018</v>
      </c>
      <c r="J15" t="str">
        <v>Student 18</v>
      </c>
      <c r="K15">
        <v>82</v>
      </c>
      <c r="L15">
        <v>48</v>
      </c>
      <c r="M15">
        <v>79</v>
      </c>
      <c r="N15">
        <v>69.66666667</v>
      </c>
      <c r="O15">
        <v>46161</v>
      </c>
      <c r="Q15" t="str">
        <f t="shared" si="1"/>
        <v>B</v>
      </c>
      <c r="S15" t="str">
        <f t="shared" si="2"/>
        <v>Normal</v>
      </c>
      <c r="T15">
        <f t="shared" si="3"/>
        <v>12</v>
      </c>
      <c r="U15">
        <f t="shared" si="4"/>
        <v>75.866666666</v>
      </c>
      <c r="V15" t="str">
        <f t="shared" si="5"/>
        <v>Student 8</v>
      </c>
      <c r="W15" t="str">
        <f t="shared" si="6"/>
        <v>Student</v>
      </c>
      <c r="X15">
        <f t="shared" si="7"/>
        <v>75</v>
      </c>
      <c r="Y15">
        <f t="shared" si="8"/>
        <v>70</v>
      </c>
      <c r="Z15">
        <f t="shared" si="9"/>
        <v>60</v>
      </c>
    </row>
    <row r="16" ht="15.15" spans="1:26">
      <c r="A16" s="4">
        <v>1009</v>
      </c>
      <c r="B16" s="5" t="s">
        <v>26</v>
      </c>
      <c r="C16" s="5">
        <v>41</v>
      </c>
      <c r="D16" s="5">
        <v>75</v>
      </c>
      <c r="E16" s="5">
        <v>56</v>
      </c>
      <c r="F16" s="5">
        <v>57.33333333</v>
      </c>
      <c r="G16" s="6">
        <v>44541</v>
      </c>
      <c r="H16" t="str">
        <f t="shared" si="0"/>
        <v>C</v>
      </c>
      <c r="I16">
        <v>1019</v>
      </c>
      <c r="J16" t="str">
        <v>Student 19</v>
      </c>
      <c r="K16">
        <v>90</v>
      </c>
      <c r="L16">
        <v>78</v>
      </c>
      <c r="M16">
        <v>60</v>
      </c>
      <c r="N16">
        <v>76</v>
      </c>
      <c r="O16">
        <v>46341</v>
      </c>
      <c r="Q16" t="str">
        <f t="shared" si="1"/>
        <v>Fail</v>
      </c>
      <c r="S16" t="str">
        <f t="shared" si="2"/>
        <v>Normal</v>
      </c>
      <c r="T16">
        <f t="shared" si="3"/>
        <v>11</v>
      </c>
      <c r="U16">
        <f t="shared" si="4"/>
        <v>75.9629629622222</v>
      </c>
      <c r="V16" t="str">
        <f t="shared" si="5"/>
        <v>Student 9</v>
      </c>
      <c r="W16" t="str">
        <f t="shared" si="6"/>
        <v>Student</v>
      </c>
      <c r="X16">
        <f t="shared" si="7"/>
        <v>57.33</v>
      </c>
      <c r="Y16">
        <f t="shared" si="8"/>
        <v>60</v>
      </c>
      <c r="Z16">
        <f t="shared" si="9"/>
        <v>50</v>
      </c>
    </row>
    <row r="17" ht="29.55" spans="1:26">
      <c r="A17" s="4">
        <v>1010</v>
      </c>
      <c r="B17" s="5" t="s">
        <v>27</v>
      </c>
      <c r="C17" s="5">
        <v>98</v>
      </c>
      <c r="D17" s="5">
        <v>54</v>
      </c>
      <c r="E17" s="5">
        <v>58</v>
      </c>
      <c r="F17" s="5">
        <v>70</v>
      </c>
      <c r="G17" s="6">
        <v>44721</v>
      </c>
      <c r="H17" t="str">
        <f t="shared" si="0"/>
        <v>B</v>
      </c>
      <c r="I17">
        <v>1020</v>
      </c>
      <c r="J17" t="str">
        <v>Student 20</v>
      </c>
      <c r="K17">
        <v>83</v>
      </c>
      <c r="L17">
        <v>92</v>
      </c>
      <c r="M17">
        <v>55</v>
      </c>
      <c r="N17">
        <v>76.66666667</v>
      </c>
      <c r="O17">
        <v>46521</v>
      </c>
      <c r="Q17" t="str">
        <f t="shared" si="1"/>
        <v>C</v>
      </c>
      <c r="S17" t="str">
        <f t="shared" si="2"/>
        <v>Normal</v>
      </c>
      <c r="T17">
        <f t="shared" si="3"/>
        <v>11</v>
      </c>
      <c r="U17">
        <f t="shared" si="4"/>
        <v>75.9629629622222</v>
      </c>
      <c r="V17" t="str">
        <f t="shared" si="5"/>
        <v>Student 10</v>
      </c>
      <c r="W17" t="str">
        <f t="shared" si="6"/>
        <v>Student</v>
      </c>
      <c r="X17">
        <f t="shared" si="7"/>
        <v>70</v>
      </c>
      <c r="Y17">
        <f t="shared" si="8"/>
        <v>60</v>
      </c>
      <c r="Z17">
        <f t="shared" si="9"/>
        <v>50</v>
      </c>
    </row>
    <row r="18" ht="29.55" spans="1:26">
      <c r="A18" s="4">
        <v>1011</v>
      </c>
      <c r="B18" s="5" t="s">
        <v>28</v>
      </c>
      <c r="C18" s="5">
        <v>73</v>
      </c>
      <c r="D18" s="5">
        <v>79</v>
      </c>
      <c r="E18" s="5">
        <v>53</v>
      </c>
      <c r="F18" s="5">
        <v>68.33333333</v>
      </c>
      <c r="G18" s="6">
        <v>44901</v>
      </c>
      <c r="H18" t="str">
        <f t="shared" si="0"/>
        <v>C</v>
      </c>
      <c r="Q18" t="str">
        <f t="shared" si="1"/>
        <v>C</v>
      </c>
      <c r="S18" t="str">
        <f t="shared" si="2"/>
        <v>Normal</v>
      </c>
      <c r="T18">
        <f t="shared" si="3"/>
        <v>10</v>
      </c>
      <c r="U18">
        <f t="shared" si="4"/>
        <v>76.7083333325</v>
      </c>
      <c r="V18" t="str">
        <f t="shared" si="5"/>
        <v>Student 11</v>
      </c>
      <c r="W18" t="str">
        <f t="shared" si="6"/>
        <v>Student</v>
      </c>
      <c r="X18">
        <f t="shared" si="7"/>
        <v>68.33</v>
      </c>
      <c r="Y18">
        <f t="shared" si="8"/>
        <v>60</v>
      </c>
      <c r="Z18">
        <f t="shared" si="9"/>
        <v>50</v>
      </c>
    </row>
    <row r="19" ht="29.55" spans="1:26">
      <c r="A19" s="4">
        <v>1012</v>
      </c>
      <c r="B19" s="5" t="s">
        <v>29</v>
      </c>
      <c r="C19" s="5">
        <v>85</v>
      </c>
      <c r="D19" s="5">
        <v>89</v>
      </c>
      <c r="E19" s="5">
        <v>79</v>
      </c>
      <c r="F19" s="5">
        <v>84.33333333</v>
      </c>
      <c r="G19" s="6">
        <v>45081</v>
      </c>
      <c r="H19" t="str">
        <f t="shared" si="0"/>
        <v>B</v>
      </c>
      <c r="I19" s="15" t="s">
        <v>30</v>
      </c>
      <c r="J19" s="15"/>
      <c r="K19" s="15"/>
      <c r="L19" s="15"/>
      <c r="M19" s="15"/>
      <c r="N19" s="15"/>
      <c r="O19" s="15"/>
      <c r="Q19" t="str">
        <f t="shared" si="1"/>
        <v>B</v>
      </c>
      <c r="S19" t="str">
        <f t="shared" si="2"/>
        <v>Excellent</v>
      </c>
      <c r="T19">
        <f t="shared" si="3"/>
        <v>9</v>
      </c>
      <c r="U19">
        <f t="shared" ref="U19:U27" si="10">AVERAGEIFS(F19:F38,F19:F38,"&gt;60")</f>
        <v>77.9047619042857</v>
      </c>
      <c r="V19" t="str">
        <f t="shared" si="5"/>
        <v>Student 12</v>
      </c>
      <c r="W19" t="str">
        <f t="shared" si="6"/>
        <v>Student</v>
      </c>
      <c r="X19">
        <f t="shared" si="7"/>
        <v>84.33</v>
      </c>
      <c r="Y19">
        <f t="shared" si="8"/>
        <v>80</v>
      </c>
      <c r="Z19">
        <f t="shared" si="9"/>
        <v>70</v>
      </c>
    </row>
    <row r="20" ht="29.55" spans="1:26">
      <c r="A20" s="4">
        <v>1013</v>
      </c>
      <c r="B20" s="5" t="s">
        <v>31</v>
      </c>
      <c r="C20" s="5">
        <v>98</v>
      </c>
      <c r="D20" s="5">
        <v>90</v>
      </c>
      <c r="E20" s="5">
        <v>97</v>
      </c>
      <c r="F20" s="5">
        <v>95</v>
      </c>
      <c r="G20" s="6">
        <v>45261</v>
      </c>
      <c r="H20" t="str">
        <f t="shared" si="0"/>
        <v>A</v>
      </c>
      <c r="I20" t="str" cm="1">
        <f t="array" ref="I20:O22">_xlfn._xlws.FILTER(A7:G27,F7:F27&gt;80)</f>
        <v>Student ID</v>
      </c>
      <c r="J20" t="str">
        <v>Name</v>
      </c>
      <c r="K20" t="str">
        <v>Math</v>
      </c>
      <c r="L20" t="str">
        <v>Science</v>
      </c>
      <c r="M20" t="str">
        <v>English</v>
      </c>
      <c r="N20" t="str">
        <v>avg</v>
      </c>
      <c r="O20" t="str">
        <v>Enrollment Date</v>
      </c>
      <c r="Q20" t="str">
        <f t="shared" si="1"/>
        <v>A</v>
      </c>
      <c r="S20" t="str">
        <f t="shared" si="2"/>
        <v>Excellent</v>
      </c>
      <c r="T20">
        <f t="shared" si="3"/>
        <v>8</v>
      </c>
      <c r="U20">
        <f t="shared" si="10"/>
        <v>76.8333333333333</v>
      </c>
      <c r="V20" t="str">
        <f t="shared" si="5"/>
        <v>Student 13</v>
      </c>
      <c r="W20" t="str">
        <f t="shared" si="6"/>
        <v>Student</v>
      </c>
      <c r="X20">
        <f t="shared" si="7"/>
        <v>95</v>
      </c>
      <c r="Y20">
        <f t="shared" si="8"/>
        <v>100</v>
      </c>
      <c r="Z20">
        <f t="shared" si="9"/>
        <v>90</v>
      </c>
    </row>
    <row r="21" ht="29.55" spans="1:26">
      <c r="A21" s="4">
        <v>1014</v>
      </c>
      <c r="B21" s="5" t="s">
        <v>32</v>
      </c>
      <c r="C21" s="5">
        <v>93</v>
      </c>
      <c r="D21" s="5">
        <v>40</v>
      </c>
      <c r="E21" s="5">
        <v>44</v>
      </c>
      <c r="F21" s="5">
        <v>59</v>
      </c>
      <c r="G21" s="6">
        <v>45441</v>
      </c>
      <c r="H21" t="str">
        <f t="shared" si="0"/>
        <v>C</v>
      </c>
      <c r="I21">
        <v>1012</v>
      </c>
      <c r="J21" t="str">
        <v>Student 12</v>
      </c>
      <c r="K21">
        <v>85</v>
      </c>
      <c r="L21">
        <v>89</v>
      </c>
      <c r="M21">
        <v>79</v>
      </c>
      <c r="N21">
        <v>84.33333333</v>
      </c>
      <c r="O21">
        <v>45081</v>
      </c>
      <c r="Q21" t="str">
        <f t="shared" si="1"/>
        <v>Fail</v>
      </c>
      <c r="S21" t="str">
        <f t="shared" si="2"/>
        <v>Normal</v>
      </c>
      <c r="T21">
        <f t="shared" si="3"/>
        <v>7</v>
      </c>
      <c r="U21">
        <f t="shared" si="10"/>
        <v>73.2</v>
      </c>
      <c r="V21" t="str">
        <f t="shared" si="5"/>
        <v>Student 14</v>
      </c>
      <c r="W21" t="str">
        <f t="shared" si="6"/>
        <v>Student</v>
      </c>
      <c r="X21">
        <f t="shared" si="7"/>
        <v>59</v>
      </c>
      <c r="Y21">
        <f t="shared" si="8"/>
        <v>50</v>
      </c>
      <c r="Z21">
        <f t="shared" si="9"/>
        <v>40</v>
      </c>
    </row>
    <row r="22" ht="29.55" spans="1:26">
      <c r="A22" s="4">
        <v>1015</v>
      </c>
      <c r="B22" s="5" t="s">
        <v>33</v>
      </c>
      <c r="C22" s="5">
        <v>70</v>
      </c>
      <c r="D22" s="5">
        <v>51</v>
      </c>
      <c r="E22" s="5">
        <v>75</v>
      </c>
      <c r="F22" s="5">
        <v>65.33333333</v>
      </c>
      <c r="G22" s="6">
        <v>45621</v>
      </c>
      <c r="H22" t="str">
        <f t="shared" si="0"/>
        <v>C</v>
      </c>
      <c r="I22">
        <v>1013</v>
      </c>
      <c r="J22" t="str">
        <v>Student 13</v>
      </c>
      <c r="K22">
        <v>98</v>
      </c>
      <c r="L22">
        <v>90</v>
      </c>
      <c r="M22">
        <v>97</v>
      </c>
      <c r="N22">
        <v>95</v>
      </c>
      <c r="O22">
        <v>45261</v>
      </c>
      <c r="Q22" t="str">
        <f t="shared" si="1"/>
        <v>C</v>
      </c>
      <c r="S22" t="str">
        <f t="shared" si="2"/>
        <v>Normal</v>
      </c>
      <c r="T22">
        <f t="shared" si="3"/>
        <v>6</v>
      </c>
      <c r="U22">
        <f t="shared" si="10"/>
        <v>73.2</v>
      </c>
      <c r="V22" t="str">
        <f t="shared" si="5"/>
        <v>Student 15</v>
      </c>
      <c r="W22" t="str">
        <f t="shared" si="6"/>
        <v>Student</v>
      </c>
      <c r="X22">
        <f t="shared" si="7"/>
        <v>65.33</v>
      </c>
      <c r="Y22">
        <f t="shared" si="8"/>
        <v>80</v>
      </c>
      <c r="Z22">
        <f t="shared" si="9"/>
        <v>70</v>
      </c>
    </row>
    <row r="23" ht="29.55" spans="1:26">
      <c r="A23" s="4">
        <v>1016</v>
      </c>
      <c r="B23" s="5" t="s">
        <v>34</v>
      </c>
      <c r="C23" s="5">
        <v>98</v>
      </c>
      <c r="D23" s="5">
        <v>77</v>
      </c>
      <c r="E23" s="5">
        <v>60</v>
      </c>
      <c r="F23" s="5">
        <v>78.33333333</v>
      </c>
      <c r="G23" s="6">
        <v>45801</v>
      </c>
      <c r="H23" t="str">
        <f t="shared" si="0"/>
        <v>B</v>
      </c>
      <c r="Q23" t="str">
        <f t="shared" si="1"/>
        <v>B</v>
      </c>
      <c r="S23" t="str">
        <f t="shared" si="2"/>
        <v>Normal</v>
      </c>
      <c r="T23">
        <f t="shared" si="3"/>
        <v>5</v>
      </c>
      <c r="U23">
        <f t="shared" si="10"/>
        <v>75.1666666675</v>
      </c>
      <c r="V23" t="str">
        <f t="shared" si="5"/>
        <v>Student 16</v>
      </c>
      <c r="W23" t="str">
        <f t="shared" si="6"/>
        <v>Student</v>
      </c>
      <c r="X23">
        <f t="shared" si="7"/>
        <v>78.33</v>
      </c>
      <c r="Y23">
        <f t="shared" si="8"/>
        <v>60</v>
      </c>
      <c r="Z23">
        <f t="shared" si="9"/>
        <v>60</v>
      </c>
    </row>
    <row r="24" ht="29.55" spans="1:26">
      <c r="A24" s="4">
        <v>1017</v>
      </c>
      <c r="B24" s="5" t="s">
        <v>35</v>
      </c>
      <c r="C24" s="5">
        <v>66</v>
      </c>
      <c r="D24" s="5">
        <v>59</v>
      </c>
      <c r="E24" s="5">
        <v>40</v>
      </c>
      <c r="F24" s="5">
        <v>55</v>
      </c>
      <c r="G24" s="6">
        <v>45981</v>
      </c>
      <c r="H24" t="str">
        <f t="shared" si="0"/>
        <v>C</v>
      </c>
      <c r="Q24" t="str">
        <f t="shared" si="1"/>
        <v>Fail</v>
      </c>
      <c r="S24" t="str">
        <f t="shared" si="2"/>
        <v>Normal</v>
      </c>
      <c r="T24">
        <f t="shared" si="3"/>
        <v>4</v>
      </c>
      <c r="U24">
        <f t="shared" si="10"/>
        <v>74.1111111133333</v>
      </c>
      <c r="V24" t="str">
        <f t="shared" si="5"/>
        <v>Student 17</v>
      </c>
      <c r="W24" t="str">
        <f t="shared" si="6"/>
        <v>Student</v>
      </c>
      <c r="X24">
        <f t="shared" si="7"/>
        <v>55</v>
      </c>
      <c r="Y24">
        <f t="shared" si="8"/>
        <v>40</v>
      </c>
      <c r="Z24">
        <f t="shared" si="9"/>
        <v>40</v>
      </c>
    </row>
    <row r="25" ht="29.55" spans="1:26">
      <c r="A25" s="4">
        <v>1018</v>
      </c>
      <c r="B25" s="5" t="s">
        <v>36</v>
      </c>
      <c r="C25" s="5">
        <v>82</v>
      </c>
      <c r="D25" s="5">
        <v>48</v>
      </c>
      <c r="E25" s="5">
        <v>79</v>
      </c>
      <c r="F25" s="5">
        <v>69.66666667</v>
      </c>
      <c r="G25" s="6">
        <v>46161</v>
      </c>
      <c r="H25" t="str">
        <f t="shared" si="0"/>
        <v>C</v>
      </c>
      <c r="Q25" t="str">
        <f t="shared" si="1"/>
        <v>C</v>
      </c>
      <c r="S25" t="str">
        <f t="shared" si="2"/>
        <v>Normal</v>
      </c>
      <c r="T25">
        <f t="shared" si="3"/>
        <v>3</v>
      </c>
      <c r="U25">
        <f t="shared" si="10"/>
        <v>74.1111111133333</v>
      </c>
      <c r="V25" t="str">
        <f t="shared" si="5"/>
        <v>Student 18</v>
      </c>
      <c r="W25" t="str">
        <f t="shared" si="6"/>
        <v>Student</v>
      </c>
      <c r="X25">
        <f t="shared" si="7"/>
        <v>69.67</v>
      </c>
      <c r="Y25">
        <f t="shared" si="8"/>
        <v>80</v>
      </c>
      <c r="Z25">
        <f t="shared" si="9"/>
        <v>70</v>
      </c>
    </row>
    <row r="26" ht="29.55" spans="1:26">
      <c r="A26" s="4">
        <v>1019</v>
      </c>
      <c r="B26" s="5" t="s">
        <v>37</v>
      </c>
      <c r="C26" s="5">
        <v>90</v>
      </c>
      <c r="D26" s="5">
        <v>78</v>
      </c>
      <c r="E26" s="5">
        <v>60</v>
      </c>
      <c r="F26" s="5">
        <v>76</v>
      </c>
      <c r="G26" s="6">
        <v>46341</v>
      </c>
      <c r="H26" t="str">
        <f t="shared" si="0"/>
        <v>B</v>
      </c>
      <c r="Q26" t="str">
        <f t="shared" si="1"/>
        <v>B</v>
      </c>
      <c r="S26" t="str">
        <f t="shared" si="2"/>
        <v>Normal</v>
      </c>
      <c r="T26">
        <f t="shared" si="3"/>
        <v>2</v>
      </c>
      <c r="U26">
        <f t="shared" si="10"/>
        <v>76.333333335</v>
      </c>
      <c r="V26" t="str">
        <f t="shared" si="5"/>
        <v>Student 19</v>
      </c>
      <c r="W26" t="str">
        <f t="shared" si="6"/>
        <v>Student</v>
      </c>
      <c r="X26">
        <f t="shared" si="7"/>
        <v>76</v>
      </c>
      <c r="Y26">
        <f t="shared" si="8"/>
        <v>60</v>
      </c>
      <c r="Z26">
        <f t="shared" si="9"/>
        <v>60</v>
      </c>
    </row>
    <row r="27" ht="29.55" spans="1:26">
      <c r="A27" s="4">
        <v>1020</v>
      </c>
      <c r="B27" s="5" t="s">
        <v>38</v>
      </c>
      <c r="C27" s="5">
        <v>83</v>
      </c>
      <c r="D27" s="5">
        <v>92</v>
      </c>
      <c r="E27" s="5">
        <v>55</v>
      </c>
      <c r="F27" s="5">
        <v>76.66666667</v>
      </c>
      <c r="G27" s="6">
        <v>46521</v>
      </c>
      <c r="H27" t="str">
        <f t="shared" si="0"/>
        <v>B</v>
      </c>
      <c r="Q27" t="str">
        <f t="shared" si="1"/>
        <v>B</v>
      </c>
      <c r="S27" t="str">
        <f t="shared" si="2"/>
        <v>Excellent</v>
      </c>
      <c r="T27">
        <f t="shared" si="3"/>
        <v>1</v>
      </c>
      <c r="U27">
        <f t="shared" si="10"/>
        <v>76.66666667</v>
      </c>
      <c r="V27" t="str">
        <f t="shared" si="5"/>
        <v>Student 20</v>
      </c>
      <c r="W27" t="str">
        <f t="shared" si="6"/>
        <v>Student</v>
      </c>
      <c r="X27">
        <f t="shared" si="7"/>
        <v>76.67</v>
      </c>
      <c r="Y27">
        <f t="shared" si="8"/>
        <v>60</v>
      </c>
      <c r="Z27">
        <f t="shared" si="9"/>
        <v>50</v>
      </c>
    </row>
  </sheetData>
  <mergeCells count="5">
    <mergeCell ref="I7:O7"/>
    <mergeCell ref="X7:Z7"/>
    <mergeCell ref="AA7:AG7"/>
    <mergeCell ref="I19:O19"/>
    <mergeCell ref="A1:O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opLeftCell="E1" workbookViewId="0">
      <selection activeCell="M9" sqref="M9"/>
    </sheetView>
  </sheetViews>
  <sheetFormatPr defaultColWidth="8.88888888888889" defaultRowHeight="14.4"/>
  <cols>
    <col min="4" max="4" width="12" customWidth="1"/>
    <col min="6" max="6" width="17.2222222222222" customWidth="1"/>
    <col min="8" max="8" width="14.7777777777778" customWidth="1"/>
    <col min="9" max="9" width="14.2222222222222" customWidth="1"/>
    <col min="10" max="10" width="17.2222222222222" customWidth="1"/>
    <col min="11" max="11" width="7.22222222222222" customWidth="1"/>
    <col min="12" max="12" width="12.4444444444444" customWidth="1"/>
    <col min="13" max="13" width="15.1111111111111" customWidth="1"/>
    <col min="14" max="14" width="15" customWidth="1"/>
    <col min="15" max="15" width="19.2222222222222" customWidth="1"/>
    <col min="16" max="16" width="14.2222222222222" customWidth="1"/>
    <col min="17" max="17" width="13.4444444444444" customWidth="1"/>
  </cols>
  <sheetData>
    <row r="1" ht="72.75" spans="1:17">
      <c r="A1" s="1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H1" s="10" t="s">
        <v>45</v>
      </c>
      <c r="I1" s="7" t="s">
        <v>46</v>
      </c>
      <c r="J1" s="10" t="s">
        <v>47</v>
      </c>
      <c r="K1" s="11" t="s">
        <v>41</v>
      </c>
      <c r="L1" s="10" t="s">
        <v>48</v>
      </c>
      <c r="M1" s="7" t="s">
        <v>49</v>
      </c>
      <c r="N1" s="10" t="s">
        <v>50</v>
      </c>
      <c r="O1" s="7" t="s">
        <v>51</v>
      </c>
      <c r="P1" s="10" t="s">
        <v>52</v>
      </c>
      <c r="Q1" s="7" t="s">
        <v>53</v>
      </c>
    </row>
    <row r="2" ht="15.15" spans="1:17">
      <c r="A2" s="4">
        <v>2001</v>
      </c>
      <c r="B2" s="5" t="s">
        <v>54</v>
      </c>
      <c r="C2" s="5" t="s">
        <v>55</v>
      </c>
      <c r="D2" s="5" t="s">
        <v>56</v>
      </c>
      <c r="E2" s="5">
        <v>7048</v>
      </c>
      <c r="F2" s="6">
        <v>44927</v>
      </c>
      <c r="H2">
        <f>VLOOKUP(B2,B2:E21,4,FALSE)</f>
        <v>7048</v>
      </c>
      <c r="I2">
        <f>IF(E2&gt;30000,E2*0.1,0)</f>
        <v>0</v>
      </c>
      <c r="J2" t="str">
        <f>IF(OR(E2&gt;30000,B2="Laptop"),"Discount Eligible","No Discount")</f>
        <v>No Discount</v>
      </c>
      <c r="K2" t="s">
        <v>57</v>
      </c>
      <c r="L2">
        <f>SUMIFS(E2:E21,C2:C21,"East")</f>
        <v>173932</v>
      </c>
      <c r="M2">
        <f>VLOOKUP(A2,$A$2:$E$21,5,FALSE)</f>
        <v>7048</v>
      </c>
      <c r="N2">
        <f>SUMIFS(E2:E21,D2:D21,"Person 1",F2:F21,"&gt;=01/01/2023",F2:F21,"&lt;=31/01/2023")</f>
        <v>7048</v>
      </c>
      <c r="O2" t="str">
        <f>_xlfn.XLOOKUP(A2,A2:A21,D2:D21)</f>
        <v>Person 1</v>
      </c>
      <c r="P2">
        <f>_xlfn.XMATCH("Keyboard",B2:B21)</f>
        <v>1</v>
      </c>
      <c r="Q2" t="str">
        <f ca="1">OFFSET(A1,2,1)</f>
        <v>Printer</v>
      </c>
    </row>
    <row r="3" ht="15.15" spans="1:17">
      <c r="A3" s="4">
        <v>2002</v>
      </c>
      <c r="B3" s="5" t="s">
        <v>58</v>
      </c>
      <c r="C3" s="5" t="s">
        <v>59</v>
      </c>
      <c r="D3" s="5" t="s">
        <v>60</v>
      </c>
      <c r="E3" s="5">
        <v>17428</v>
      </c>
      <c r="F3" s="6">
        <v>44942</v>
      </c>
      <c r="H3">
        <f t="shared" ref="H3:H21" si="0">VLOOKUP(B3,B3:E22,4,FALSE)</f>
        <v>17428</v>
      </c>
      <c r="I3">
        <f t="shared" ref="I3:I21" si="1">IF(E3&gt;30000,E3*0.1,0)</f>
        <v>0</v>
      </c>
      <c r="J3" t="str">
        <f t="shared" ref="J3:J21" si="2">IF(OR(E3&gt;30000,B3="Laptop"),"Discount Eligible","No Discount")</f>
        <v>No Discount</v>
      </c>
      <c r="K3" t="s">
        <v>59</v>
      </c>
      <c r="L3">
        <f>SUMIFS(E2:E21,C2:C21,"West")</f>
        <v>119978</v>
      </c>
      <c r="M3">
        <f t="shared" ref="M3:M21" si="3">VLOOKUP(A3,$A$2:$E$21,5,FALSE)</f>
        <v>17428</v>
      </c>
      <c r="O3" t="str">
        <f t="shared" ref="O3:O21" si="4">_xlfn.XLOOKUP(A3,A3:A22,D3:D22)</f>
        <v>Person 2</v>
      </c>
      <c r="Q3" t="str">
        <f ca="1">OFFSET(A2,2,1)</f>
        <v>Mouse</v>
      </c>
    </row>
    <row r="4" ht="15.15" spans="1:17">
      <c r="A4" s="4">
        <v>2003</v>
      </c>
      <c r="B4" s="5" t="s">
        <v>61</v>
      </c>
      <c r="C4" s="5" t="s">
        <v>55</v>
      </c>
      <c r="D4" s="5" t="s">
        <v>62</v>
      </c>
      <c r="E4" s="5">
        <v>23672</v>
      </c>
      <c r="F4" s="6">
        <v>44957</v>
      </c>
      <c r="H4">
        <f t="shared" si="0"/>
        <v>23672</v>
      </c>
      <c r="I4">
        <f t="shared" si="1"/>
        <v>0</v>
      </c>
      <c r="J4" t="str">
        <f t="shared" si="2"/>
        <v>No Discount</v>
      </c>
      <c r="K4" t="s">
        <v>55</v>
      </c>
      <c r="L4">
        <f>SUMIFS(E2:E21,C2:C21,"South")</f>
        <v>73188</v>
      </c>
      <c r="M4">
        <f t="shared" si="3"/>
        <v>23672</v>
      </c>
      <c r="O4" t="str">
        <f t="shared" si="4"/>
        <v>Person 3</v>
      </c>
      <c r="Q4" t="str">
        <f ca="1">OFFSET(A3,2,1)</f>
        <v>Printer</v>
      </c>
    </row>
    <row r="5" ht="15.15" spans="1:17">
      <c r="A5" s="4">
        <v>2004</v>
      </c>
      <c r="B5" s="5" t="s">
        <v>58</v>
      </c>
      <c r="C5" s="5" t="s">
        <v>57</v>
      </c>
      <c r="D5" s="5" t="s">
        <v>63</v>
      </c>
      <c r="E5" s="5">
        <v>5264</v>
      </c>
      <c r="F5" s="6">
        <v>44972</v>
      </c>
      <c r="H5">
        <f t="shared" si="0"/>
        <v>5264</v>
      </c>
      <c r="I5">
        <f t="shared" si="1"/>
        <v>0</v>
      </c>
      <c r="J5" t="str">
        <f t="shared" si="2"/>
        <v>No Discount</v>
      </c>
      <c r="K5" t="s">
        <v>64</v>
      </c>
      <c r="L5">
        <f>SUMIFS(E2:E21,C2:C21,"North")</f>
        <v>140627</v>
      </c>
      <c r="M5">
        <f t="shared" si="3"/>
        <v>5264</v>
      </c>
      <c r="O5" t="str">
        <f t="shared" si="4"/>
        <v>Person 4</v>
      </c>
      <c r="Q5" t="str">
        <f ca="1">OFFSET(A4,2,1)</f>
        <v>Keyboard</v>
      </c>
    </row>
    <row r="6" ht="15.15" spans="1:15">
      <c r="A6" s="4">
        <v>2005</v>
      </c>
      <c r="B6" s="5" t="s">
        <v>54</v>
      </c>
      <c r="C6" s="5" t="s">
        <v>64</v>
      </c>
      <c r="D6" s="5" t="s">
        <v>65</v>
      </c>
      <c r="E6" s="5">
        <v>43388</v>
      </c>
      <c r="F6" s="6">
        <v>44987</v>
      </c>
      <c r="H6">
        <f t="shared" si="0"/>
        <v>43388</v>
      </c>
      <c r="I6">
        <f t="shared" si="1"/>
        <v>4338.8</v>
      </c>
      <c r="J6" t="str">
        <f t="shared" si="2"/>
        <v>Discount Eligible</v>
      </c>
      <c r="M6">
        <f t="shared" si="3"/>
        <v>43388</v>
      </c>
      <c r="O6" t="str">
        <f t="shared" si="4"/>
        <v>Person 5</v>
      </c>
    </row>
    <row r="7" ht="15.15" spans="1:15">
      <c r="A7" s="4">
        <v>2006</v>
      </c>
      <c r="B7" s="5" t="s">
        <v>61</v>
      </c>
      <c r="C7" s="5" t="s">
        <v>64</v>
      </c>
      <c r="D7" s="5" t="s">
        <v>66</v>
      </c>
      <c r="E7" s="5">
        <v>19757</v>
      </c>
      <c r="F7" s="6">
        <v>45002</v>
      </c>
      <c r="H7">
        <f t="shared" si="0"/>
        <v>19757</v>
      </c>
      <c r="I7">
        <f t="shared" si="1"/>
        <v>0</v>
      </c>
      <c r="J7" t="str">
        <f t="shared" si="2"/>
        <v>No Discount</v>
      </c>
      <c r="M7">
        <f t="shared" si="3"/>
        <v>19757</v>
      </c>
      <c r="O7" t="str">
        <f t="shared" si="4"/>
        <v>Person 6</v>
      </c>
    </row>
    <row r="8" ht="15.15" spans="1:15">
      <c r="A8" s="4">
        <v>2007</v>
      </c>
      <c r="B8" s="5" t="s">
        <v>61</v>
      </c>
      <c r="C8" s="5" t="s">
        <v>57</v>
      </c>
      <c r="D8" s="5" t="s">
        <v>67</v>
      </c>
      <c r="E8" s="5">
        <v>32058</v>
      </c>
      <c r="F8" s="6">
        <v>45017</v>
      </c>
      <c r="H8">
        <f t="shared" si="0"/>
        <v>32058</v>
      </c>
      <c r="I8">
        <f t="shared" si="1"/>
        <v>3205.8</v>
      </c>
      <c r="J8" t="str">
        <f t="shared" si="2"/>
        <v>Discount Eligible</v>
      </c>
      <c r="M8">
        <f t="shared" si="3"/>
        <v>32058</v>
      </c>
      <c r="O8" t="str">
        <f t="shared" si="4"/>
        <v>Person 7</v>
      </c>
    </row>
    <row r="9" ht="15.15" spans="1:15">
      <c r="A9" s="4">
        <v>2008</v>
      </c>
      <c r="B9" s="5" t="s">
        <v>54</v>
      </c>
      <c r="C9" s="5" t="s">
        <v>57</v>
      </c>
      <c r="D9" s="5" t="s">
        <v>68</v>
      </c>
      <c r="E9" s="5">
        <v>46429</v>
      </c>
      <c r="F9" s="6">
        <v>45032</v>
      </c>
      <c r="H9">
        <f t="shared" si="0"/>
        <v>46429</v>
      </c>
      <c r="I9">
        <f t="shared" si="1"/>
        <v>4642.9</v>
      </c>
      <c r="J9" t="str">
        <f t="shared" si="2"/>
        <v>Discount Eligible</v>
      </c>
      <c r="M9">
        <f t="shared" si="3"/>
        <v>46429</v>
      </c>
      <c r="O9" t="str">
        <f t="shared" si="4"/>
        <v>Person 8</v>
      </c>
    </row>
    <row r="10" ht="15.15" spans="1:15">
      <c r="A10" s="4">
        <v>2009</v>
      </c>
      <c r="B10" s="5" t="s">
        <v>58</v>
      </c>
      <c r="C10" s="5" t="s">
        <v>57</v>
      </c>
      <c r="D10" s="5" t="s">
        <v>69</v>
      </c>
      <c r="E10" s="5">
        <v>19746</v>
      </c>
      <c r="F10" s="6">
        <v>45047</v>
      </c>
      <c r="H10">
        <f t="shared" si="0"/>
        <v>19746</v>
      </c>
      <c r="I10">
        <f t="shared" si="1"/>
        <v>0</v>
      </c>
      <c r="J10" t="str">
        <f t="shared" si="2"/>
        <v>No Discount</v>
      </c>
      <c r="M10">
        <f t="shared" si="3"/>
        <v>19746</v>
      </c>
      <c r="O10" t="str">
        <f t="shared" si="4"/>
        <v>Person 9</v>
      </c>
    </row>
    <row r="11" ht="15.15" spans="1:15">
      <c r="A11" s="4">
        <v>2010</v>
      </c>
      <c r="B11" s="5" t="s">
        <v>54</v>
      </c>
      <c r="C11" s="5" t="s">
        <v>55</v>
      </c>
      <c r="D11" s="5" t="s">
        <v>70</v>
      </c>
      <c r="E11" s="5">
        <v>35185</v>
      </c>
      <c r="F11" s="6">
        <v>45062</v>
      </c>
      <c r="H11">
        <f t="shared" si="0"/>
        <v>35185</v>
      </c>
      <c r="I11">
        <f t="shared" si="1"/>
        <v>3518.5</v>
      </c>
      <c r="J11" t="str">
        <f t="shared" si="2"/>
        <v>Discount Eligible</v>
      </c>
      <c r="M11">
        <f t="shared" si="3"/>
        <v>35185</v>
      </c>
      <c r="O11" t="str">
        <f t="shared" si="4"/>
        <v>Person 10</v>
      </c>
    </row>
    <row r="12" ht="15.15" spans="1:15">
      <c r="A12" s="4">
        <v>2011</v>
      </c>
      <c r="B12" s="5" t="s">
        <v>54</v>
      </c>
      <c r="C12" s="5" t="s">
        <v>57</v>
      </c>
      <c r="D12" s="5" t="s">
        <v>71</v>
      </c>
      <c r="E12" s="5">
        <v>33920</v>
      </c>
      <c r="F12" s="6">
        <v>45077</v>
      </c>
      <c r="H12">
        <f t="shared" si="0"/>
        <v>33920</v>
      </c>
      <c r="I12">
        <f t="shared" si="1"/>
        <v>3392</v>
      </c>
      <c r="J12" t="str">
        <f t="shared" si="2"/>
        <v>Discount Eligible</v>
      </c>
      <c r="M12">
        <f t="shared" si="3"/>
        <v>33920</v>
      </c>
      <c r="O12" t="str">
        <f t="shared" si="4"/>
        <v>Person 11</v>
      </c>
    </row>
    <row r="13" ht="15.15" spans="1:15">
      <c r="A13" s="4">
        <v>2012</v>
      </c>
      <c r="B13" s="5" t="s">
        <v>72</v>
      </c>
      <c r="C13" s="5" t="s">
        <v>64</v>
      </c>
      <c r="D13" s="5" t="s">
        <v>73</v>
      </c>
      <c r="E13" s="5">
        <v>35611</v>
      </c>
      <c r="F13" s="6">
        <v>45092</v>
      </c>
      <c r="H13">
        <f t="shared" si="0"/>
        <v>35611</v>
      </c>
      <c r="I13">
        <f t="shared" si="1"/>
        <v>3561.1</v>
      </c>
      <c r="J13" t="str">
        <f t="shared" si="2"/>
        <v>Discount Eligible</v>
      </c>
      <c r="M13">
        <f t="shared" si="3"/>
        <v>35611</v>
      </c>
      <c r="O13" t="str">
        <f t="shared" si="4"/>
        <v>Person 12</v>
      </c>
    </row>
    <row r="14" ht="15.15" spans="1:15">
      <c r="A14" s="4">
        <v>2013</v>
      </c>
      <c r="B14" s="5" t="s">
        <v>74</v>
      </c>
      <c r="C14" s="5" t="s">
        <v>57</v>
      </c>
      <c r="D14" s="5" t="s">
        <v>75</v>
      </c>
      <c r="E14" s="5">
        <v>15560</v>
      </c>
      <c r="F14" s="6">
        <v>45107</v>
      </c>
      <c r="H14">
        <f t="shared" si="0"/>
        <v>15560</v>
      </c>
      <c r="I14">
        <f t="shared" si="1"/>
        <v>0</v>
      </c>
      <c r="J14" t="str">
        <f t="shared" si="2"/>
        <v>Discount Eligible</v>
      </c>
      <c r="M14">
        <f t="shared" si="3"/>
        <v>15560</v>
      </c>
      <c r="O14" t="str">
        <f t="shared" si="4"/>
        <v>Person 13</v>
      </c>
    </row>
    <row r="15" ht="15.15" spans="1:15">
      <c r="A15" s="4">
        <v>2014</v>
      </c>
      <c r="B15" s="5" t="s">
        <v>74</v>
      </c>
      <c r="C15" s="5" t="s">
        <v>55</v>
      </c>
      <c r="D15" s="5" t="s">
        <v>76</v>
      </c>
      <c r="E15" s="5">
        <v>7283</v>
      </c>
      <c r="F15" s="6">
        <v>45122</v>
      </c>
      <c r="H15">
        <f t="shared" si="0"/>
        <v>7283</v>
      </c>
      <c r="I15">
        <f t="shared" si="1"/>
        <v>0</v>
      </c>
      <c r="J15" t="str">
        <f t="shared" si="2"/>
        <v>Discount Eligible</v>
      </c>
      <c r="M15">
        <f t="shared" si="3"/>
        <v>7283</v>
      </c>
      <c r="O15" t="str">
        <f t="shared" si="4"/>
        <v>Person 14</v>
      </c>
    </row>
    <row r="16" ht="15.15" spans="1:15">
      <c r="A16" s="4">
        <v>2015</v>
      </c>
      <c r="B16" s="5" t="s">
        <v>74</v>
      </c>
      <c r="C16" s="5" t="s">
        <v>57</v>
      </c>
      <c r="D16" s="5" t="s">
        <v>77</v>
      </c>
      <c r="E16" s="5">
        <v>15678</v>
      </c>
      <c r="F16" s="6">
        <v>45137</v>
      </c>
      <c r="H16">
        <f t="shared" si="0"/>
        <v>15678</v>
      </c>
      <c r="I16">
        <f t="shared" si="1"/>
        <v>0</v>
      </c>
      <c r="J16" t="str">
        <f t="shared" si="2"/>
        <v>Discount Eligible</v>
      </c>
      <c r="M16">
        <f t="shared" si="3"/>
        <v>15678</v>
      </c>
      <c r="O16" t="str">
        <f t="shared" si="4"/>
        <v>Person 15</v>
      </c>
    </row>
    <row r="17" ht="15.15" spans="1:15">
      <c r="A17" s="4">
        <v>2016</v>
      </c>
      <c r="B17" s="5" t="s">
        <v>61</v>
      </c>
      <c r="C17" s="5" t="s">
        <v>57</v>
      </c>
      <c r="D17" s="5" t="s">
        <v>78</v>
      </c>
      <c r="E17" s="5">
        <v>5277</v>
      </c>
      <c r="F17" s="6">
        <v>45152</v>
      </c>
      <c r="H17">
        <f t="shared" si="0"/>
        <v>5277</v>
      </c>
      <c r="I17">
        <f t="shared" si="1"/>
        <v>0</v>
      </c>
      <c r="J17" t="str">
        <f t="shared" si="2"/>
        <v>No Discount</v>
      </c>
      <c r="M17">
        <f t="shared" si="3"/>
        <v>5277</v>
      </c>
      <c r="O17" t="str">
        <f t="shared" si="4"/>
        <v>Person 16</v>
      </c>
    </row>
    <row r="18" ht="15.15" spans="1:15">
      <c r="A18" s="4">
        <v>2017</v>
      </c>
      <c r="B18" s="5" t="s">
        <v>72</v>
      </c>
      <c r="C18" s="5" t="s">
        <v>64</v>
      </c>
      <c r="D18" s="5" t="s">
        <v>79</v>
      </c>
      <c r="E18" s="5">
        <v>41871</v>
      </c>
      <c r="F18" s="6">
        <v>45167</v>
      </c>
      <c r="H18">
        <f t="shared" si="0"/>
        <v>41871</v>
      </c>
      <c r="I18">
        <f t="shared" si="1"/>
        <v>4187.1</v>
      </c>
      <c r="J18" t="str">
        <f t="shared" si="2"/>
        <v>Discount Eligible</v>
      </c>
      <c r="M18">
        <f t="shared" si="3"/>
        <v>41871</v>
      </c>
      <c r="O18" t="str">
        <f t="shared" si="4"/>
        <v>Person 17</v>
      </c>
    </row>
    <row r="19" ht="15.15" spans="1:15">
      <c r="A19" s="4">
        <v>2018</v>
      </c>
      <c r="B19" s="5" t="s">
        <v>72</v>
      </c>
      <c r="C19" s="5" t="s">
        <v>59</v>
      </c>
      <c r="D19" s="5" t="s">
        <v>80</v>
      </c>
      <c r="E19" s="5">
        <v>38161</v>
      </c>
      <c r="F19" s="6">
        <v>45182</v>
      </c>
      <c r="H19">
        <f t="shared" si="0"/>
        <v>38161</v>
      </c>
      <c r="I19">
        <f t="shared" si="1"/>
        <v>3816.1</v>
      </c>
      <c r="J19" t="str">
        <f t="shared" si="2"/>
        <v>Discount Eligible</v>
      </c>
      <c r="M19">
        <f t="shared" si="3"/>
        <v>38161</v>
      </c>
      <c r="O19" t="str">
        <f t="shared" si="4"/>
        <v>Person 18</v>
      </c>
    </row>
    <row r="20" ht="15.15" spans="1:15">
      <c r="A20" s="4">
        <v>2019</v>
      </c>
      <c r="B20" s="5" t="s">
        <v>61</v>
      </c>
      <c r="C20" s="5" t="s">
        <v>59</v>
      </c>
      <c r="D20" s="5" t="s">
        <v>81</v>
      </c>
      <c r="E20" s="5">
        <v>30436</v>
      </c>
      <c r="F20" s="6">
        <v>45197</v>
      </c>
      <c r="H20">
        <f t="shared" si="0"/>
        <v>30436</v>
      </c>
      <c r="I20">
        <f t="shared" si="1"/>
        <v>3043.6</v>
      </c>
      <c r="J20" t="str">
        <f t="shared" si="2"/>
        <v>Discount Eligible</v>
      </c>
      <c r="M20">
        <f t="shared" si="3"/>
        <v>30436</v>
      </c>
      <c r="O20" t="str">
        <f t="shared" si="4"/>
        <v>Person 19</v>
      </c>
    </row>
    <row r="21" ht="15.15" spans="1:15">
      <c r="A21" s="4">
        <v>2020</v>
      </c>
      <c r="B21" s="5" t="s">
        <v>58</v>
      </c>
      <c r="C21" s="5" t="s">
        <v>59</v>
      </c>
      <c r="D21" s="5" t="s">
        <v>82</v>
      </c>
      <c r="E21" s="5">
        <v>33953</v>
      </c>
      <c r="F21" s="6">
        <v>45212</v>
      </c>
      <c r="H21">
        <f t="shared" si="0"/>
        <v>33953</v>
      </c>
      <c r="I21">
        <f t="shared" si="1"/>
        <v>3395.3</v>
      </c>
      <c r="J21" t="str">
        <f t="shared" si="2"/>
        <v>Discount Eligible</v>
      </c>
      <c r="M21">
        <f t="shared" si="3"/>
        <v>33953</v>
      </c>
      <c r="O21" t="str">
        <f t="shared" si="4"/>
        <v>Person 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zoomScale="85" zoomScaleNormal="85" workbookViewId="0">
      <selection activeCell="O2" sqref="O2:O21"/>
    </sheetView>
  </sheetViews>
  <sheetFormatPr defaultColWidth="8.88888888888889" defaultRowHeight="14.4"/>
  <cols>
    <col min="1" max="1" width="12.1111111111111" customWidth="1"/>
    <col min="2" max="2" width="11.3333333333333" customWidth="1"/>
    <col min="3" max="3" width="14.1111111111111" customWidth="1"/>
    <col min="5" max="5" width="19.7777777777778" customWidth="1"/>
    <col min="7" max="7" width="22" customWidth="1"/>
    <col min="8" max="8" width="16.1111111111111" customWidth="1"/>
    <col min="9" max="9" width="18.2222222222222" customWidth="1"/>
    <col min="10" max="10" width="13.6666666666667" customWidth="1"/>
    <col min="11" max="11" width="23.4444444444444" customWidth="1"/>
    <col min="12" max="12" width="14.2222222222222" customWidth="1"/>
    <col min="13" max="13" width="16" customWidth="1"/>
    <col min="14" max="14" width="22.5555555555556" customWidth="1"/>
    <col min="15" max="15" width="17" customWidth="1"/>
  </cols>
  <sheetData>
    <row r="1" ht="58.35" spans="1:15">
      <c r="A1" s="1" t="s">
        <v>83</v>
      </c>
      <c r="B1" s="2" t="s">
        <v>2</v>
      </c>
      <c r="C1" s="2" t="s">
        <v>84</v>
      </c>
      <c r="D1" s="2" t="s">
        <v>85</v>
      </c>
      <c r="E1" s="2" t="s">
        <v>86</v>
      </c>
      <c r="G1" s="3" t="s">
        <v>87</v>
      </c>
      <c r="H1" s="3" t="s">
        <v>88</v>
      </c>
      <c r="I1" s="7" t="s">
        <v>89</v>
      </c>
      <c r="J1" s="3" t="s">
        <v>90</v>
      </c>
      <c r="K1" s="7" t="s">
        <v>91</v>
      </c>
      <c r="L1" s="3" t="s">
        <v>92</v>
      </c>
      <c r="M1" s="7" t="s">
        <v>93</v>
      </c>
      <c r="N1" s="8" t="s">
        <v>94</v>
      </c>
      <c r="O1" s="8"/>
    </row>
    <row r="2" ht="15.15" spans="1:15">
      <c r="A2" s="4">
        <v>3001</v>
      </c>
      <c r="B2" s="5" t="s">
        <v>95</v>
      </c>
      <c r="C2" s="5" t="s">
        <v>96</v>
      </c>
      <c r="D2" s="5">
        <v>86766</v>
      </c>
      <c r="E2" s="6">
        <v>42005</v>
      </c>
      <c r="G2">
        <f>_xlfn.XLOOKUP(A2,A2:A21,D2:D21)</f>
        <v>86766</v>
      </c>
      <c r="H2" cm="1">
        <f t="array" ref="H2">INDEX(D2:D21,MATCH(A2,A2:A21,0))</f>
        <v>86766</v>
      </c>
      <c r="I2" t="str">
        <f>UPPER(B2)</f>
        <v>EMPLOYEE 1</v>
      </c>
      <c r="J2">
        <f>_xlfn.XLOOKUP(A2,A2:A21,D2:D21)</f>
        <v>86766</v>
      </c>
      <c r="K2" cm="1">
        <f ca="1" t="array" ref="K2">INDIRECT("D2")</f>
        <v>86766</v>
      </c>
      <c r="L2">
        <f ca="1">DATEDIF(E2,TODAY(),"Y")</f>
        <v>11</v>
      </c>
      <c r="M2">
        <f ca="1">DATEDIF(E2,TODAY(),"d")</f>
        <v>4094</v>
      </c>
      <c r="N2">
        <f ca="1">DATEDIF(E2,TODAY(),"y")</f>
        <v>11</v>
      </c>
      <c r="O2" s="9">
        <v>42005</v>
      </c>
    </row>
    <row r="3" ht="15.15" spans="1:15">
      <c r="A3" s="4">
        <v>3002</v>
      </c>
      <c r="B3" s="5" t="s">
        <v>97</v>
      </c>
      <c r="C3" s="5" t="s">
        <v>96</v>
      </c>
      <c r="D3" s="5">
        <v>31943</v>
      </c>
      <c r="E3" s="6">
        <v>42255</v>
      </c>
      <c r="G3">
        <f t="shared" ref="G3:G21" si="0">_xlfn.XLOOKUP(A3,A3:A22,D3:D22)</f>
        <v>31943</v>
      </c>
      <c r="H3" cm="1">
        <f t="array" ref="H3">INDEX(D3:D22,MATCH(A3,A3:A22,0))</f>
        <v>31943</v>
      </c>
      <c r="I3" t="str">
        <f t="shared" ref="I3:I13" si="1">UPPER(B3)</f>
        <v>EMPLOYEE 2</v>
      </c>
      <c r="J3">
        <f t="shared" ref="J3:J21" si="2">_xlfn.XLOOKUP(A3,A3:A22,D3:D22)</f>
        <v>31943</v>
      </c>
      <c r="L3">
        <f ca="1" t="shared" ref="L3:L21" si="3">DATEDIF(E3,TODAY(),"Y")</f>
        <v>10</v>
      </c>
      <c r="M3">
        <f ca="1" t="shared" ref="M3:M21" si="4">DATEDIF(E3,TODAY(),"d")</f>
        <v>3844</v>
      </c>
      <c r="N3">
        <f ca="1">DATEDIF(E3,TODAY(),"y")</f>
        <v>10</v>
      </c>
      <c r="O3" s="9">
        <v>42255</v>
      </c>
    </row>
    <row r="4" ht="15.15" spans="1:15">
      <c r="A4" s="4">
        <v>3003</v>
      </c>
      <c r="B4" s="5" t="s">
        <v>98</v>
      </c>
      <c r="C4" s="5" t="s">
        <v>99</v>
      </c>
      <c r="D4" s="5">
        <v>63374</v>
      </c>
      <c r="E4" s="6">
        <v>42505</v>
      </c>
      <c r="G4">
        <f t="shared" si="0"/>
        <v>63374</v>
      </c>
      <c r="H4" cm="1">
        <f t="array" ref="H4">INDEX(D4:D23,MATCH(A4,A4:A23,0))</f>
        <v>63374</v>
      </c>
      <c r="I4" t="str">
        <f t="shared" si="1"/>
        <v>EMPLOYEE 3</v>
      </c>
      <c r="J4">
        <f t="shared" si="2"/>
        <v>63374</v>
      </c>
      <c r="L4">
        <f ca="1" t="shared" si="3"/>
        <v>9</v>
      </c>
      <c r="M4">
        <f ca="1" t="shared" si="4"/>
        <v>3594</v>
      </c>
      <c r="N4">
        <f ca="1" t="shared" ref="N3:N23" si="5">DATEDIF(E4,TODAY(),"y")</f>
        <v>9</v>
      </c>
      <c r="O4" s="9">
        <v>42505</v>
      </c>
    </row>
    <row r="5" ht="15.15" spans="1:15">
      <c r="A5" s="4">
        <v>3004</v>
      </c>
      <c r="B5" s="5" t="s">
        <v>100</v>
      </c>
      <c r="C5" s="5" t="s">
        <v>96</v>
      </c>
      <c r="D5" s="5">
        <v>109972</v>
      </c>
      <c r="E5" s="6">
        <v>42755</v>
      </c>
      <c r="G5">
        <f t="shared" si="0"/>
        <v>109972</v>
      </c>
      <c r="H5" cm="1">
        <f t="array" ref="H5">INDEX(D5:D24,MATCH(A5,A5:A24,0))</f>
        <v>109972</v>
      </c>
      <c r="I5" t="str">
        <f t="shared" si="1"/>
        <v>EMPLOYEE 4</v>
      </c>
      <c r="J5">
        <f t="shared" si="2"/>
        <v>109972</v>
      </c>
      <c r="L5">
        <f ca="1" t="shared" si="3"/>
        <v>9</v>
      </c>
      <c r="M5">
        <f ca="1" t="shared" si="4"/>
        <v>3344</v>
      </c>
      <c r="N5">
        <f ca="1" t="shared" si="5"/>
        <v>9</v>
      </c>
      <c r="O5" s="9">
        <v>42755</v>
      </c>
    </row>
    <row r="6" ht="15.15" spans="1:15">
      <c r="A6" s="4">
        <v>3005</v>
      </c>
      <c r="B6" s="5" t="s">
        <v>101</v>
      </c>
      <c r="C6" s="5" t="s">
        <v>102</v>
      </c>
      <c r="D6" s="5">
        <v>54149</v>
      </c>
      <c r="E6" s="6">
        <v>43005</v>
      </c>
      <c r="G6">
        <f t="shared" si="0"/>
        <v>54149</v>
      </c>
      <c r="H6" cm="1">
        <f t="array" ref="H6">INDEX(D6:D25,MATCH(A6,A6:A25,0))</f>
        <v>54149</v>
      </c>
      <c r="I6" t="str">
        <f t="shared" si="1"/>
        <v>EMPLOYEE 5</v>
      </c>
      <c r="J6">
        <f t="shared" si="2"/>
        <v>54149</v>
      </c>
      <c r="L6">
        <f ca="1" t="shared" si="3"/>
        <v>8</v>
      </c>
      <c r="M6">
        <f ca="1" t="shared" si="4"/>
        <v>3094</v>
      </c>
      <c r="N6">
        <f ca="1" t="shared" si="5"/>
        <v>8</v>
      </c>
      <c r="O6" s="9">
        <v>43005</v>
      </c>
    </row>
    <row r="7" ht="15.15" spans="1:15">
      <c r="A7" s="4">
        <v>3006</v>
      </c>
      <c r="B7" s="5" t="s">
        <v>103</v>
      </c>
      <c r="C7" s="5" t="s">
        <v>102</v>
      </c>
      <c r="D7" s="5">
        <v>78689</v>
      </c>
      <c r="E7" s="6">
        <v>43255</v>
      </c>
      <c r="G7">
        <f t="shared" si="0"/>
        <v>78689</v>
      </c>
      <c r="H7" cm="1">
        <f t="array" ref="H7">INDEX(D7:D26,MATCH(A7,A7:A26,0))</f>
        <v>78689</v>
      </c>
      <c r="I7" t="str">
        <f t="shared" si="1"/>
        <v>EMPLOYEE 6</v>
      </c>
      <c r="J7">
        <f t="shared" si="2"/>
        <v>78689</v>
      </c>
      <c r="L7">
        <f ca="1" t="shared" si="3"/>
        <v>7</v>
      </c>
      <c r="M7">
        <f ca="1" t="shared" si="4"/>
        <v>2844</v>
      </c>
      <c r="N7">
        <f ca="1" t="shared" si="5"/>
        <v>7</v>
      </c>
      <c r="O7" s="9">
        <v>43255</v>
      </c>
    </row>
    <row r="8" ht="15.15" spans="1:15">
      <c r="A8" s="4">
        <v>3007</v>
      </c>
      <c r="B8" s="5" t="s">
        <v>104</v>
      </c>
      <c r="C8" s="5" t="s">
        <v>105</v>
      </c>
      <c r="D8" s="5">
        <v>35960</v>
      </c>
      <c r="E8" s="6">
        <v>43505</v>
      </c>
      <c r="G8">
        <f t="shared" si="0"/>
        <v>35960</v>
      </c>
      <c r="H8" cm="1">
        <f t="array" ref="H8">INDEX(D8:D27,MATCH(A8,A8:A27,0))</f>
        <v>35960</v>
      </c>
      <c r="I8" t="str">
        <f t="shared" si="1"/>
        <v>EMPLOYEE 7</v>
      </c>
      <c r="J8">
        <f t="shared" si="2"/>
        <v>35960</v>
      </c>
      <c r="L8">
        <f ca="1" t="shared" si="3"/>
        <v>7</v>
      </c>
      <c r="M8">
        <f ca="1" t="shared" si="4"/>
        <v>2594</v>
      </c>
      <c r="N8">
        <f ca="1" t="shared" si="5"/>
        <v>7</v>
      </c>
      <c r="O8" s="9">
        <v>43505</v>
      </c>
    </row>
    <row r="9" ht="15.15" spans="1:15">
      <c r="A9" s="4">
        <v>3008</v>
      </c>
      <c r="B9" s="5" t="s">
        <v>106</v>
      </c>
      <c r="C9" s="5" t="s">
        <v>102</v>
      </c>
      <c r="D9" s="5">
        <v>91659</v>
      </c>
      <c r="E9" s="6">
        <v>43755</v>
      </c>
      <c r="G9">
        <f t="shared" si="0"/>
        <v>91659</v>
      </c>
      <c r="H9" cm="1">
        <f t="array" ref="H9">INDEX(D9:D28,MATCH(A9,A9:A28,0))</f>
        <v>91659</v>
      </c>
      <c r="I9" t="str">
        <f t="shared" si="1"/>
        <v>EMPLOYEE 8</v>
      </c>
      <c r="J9">
        <f t="shared" si="2"/>
        <v>91659</v>
      </c>
      <c r="L9">
        <f ca="1" t="shared" si="3"/>
        <v>6</v>
      </c>
      <c r="M9">
        <f ca="1" t="shared" si="4"/>
        <v>2344</v>
      </c>
      <c r="N9">
        <f ca="1" t="shared" si="5"/>
        <v>6</v>
      </c>
      <c r="O9" s="9">
        <v>43755</v>
      </c>
    </row>
    <row r="10" ht="15.15" spans="1:15">
      <c r="A10" s="4">
        <v>3009</v>
      </c>
      <c r="B10" s="5" t="s">
        <v>107</v>
      </c>
      <c r="C10" s="5" t="s">
        <v>102</v>
      </c>
      <c r="D10" s="5">
        <v>90423</v>
      </c>
      <c r="E10" s="6">
        <v>44005</v>
      </c>
      <c r="G10">
        <f t="shared" si="0"/>
        <v>90423</v>
      </c>
      <c r="H10" cm="1">
        <f t="array" ref="H10">INDEX(D10:D29,MATCH(A10,A10:A29,0))</f>
        <v>90423</v>
      </c>
      <c r="I10" t="str">
        <f t="shared" si="1"/>
        <v>EMPLOYEE 9</v>
      </c>
      <c r="J10">
        <f t="shared" si="2"/>
        <v>90423</v>
      </c>
      <c r="L10">
        <f ca="1" t="shared" si="3"/>
        <v>5</v>
      </c>
      <c r="M10">
        <f ca="1" t="shared" si="4"/>
        <v>2094</v>
      </c>
      <c r="N10">
        <f ca="1" t="shared" si="5"/>
        <v>5</v>
      </c>
      <c r="O10" s="9">
        <v>44005</v>
      </c>
    </row>
    <row r="11" ht="15.15" spans="1:15">
      <c r="A11" s="4">
        <v>3010</v>
      </c>
      <c r="B11" s="5" t="s">
        <v>108</v>
      </c>
      <c r="C11" s="5" t="s">
        <v>99</v>
      </c>
      <c r="D11" s="5">
        <v>107877</v>
      </c>
      <c r="E11" s="6">
        <v>44255</v>
      </c>
      <c r="G11">
        <f t="shared" si="0"/>
        <v>107877</v>
      </c>
      <c r="H11" cm="1">
        <f t="array" ref="H11">INDEX(D11:D30,MATCH(A11,A11:A30,0))</f>
        <v>107877</v>
      </c>
      <c r="I11" t="str">
        <f t="shared" si="1"/>
        <v>EMPLOYEE 10</v>
      </c>
      <c r="J11">
        <f t="shared" si="2"/>
        <v>107877</v>
      </c>
      <c r="L11">
        <f ca="1" t="shared" si="3"/>
        <v>5</v>
      </c>
      <c r="M11">
        <f ca="1" t="shared" si="4"/>
        <v>1844</v>
      </c>
      <c r="N11">
        <f ca="1" t="shared" si="5"/>
        <v>5</v>
      </c>
      <c r="O11" s="9">
        <v>44255</v>
      </c>
    </row>
    <row r="12" ht="15.15" spans="1:15">
      <c r="A12" s="4">
        <v>3011</v>
      </c>
      <c r="B12" s="5" t="s">
        <v>109</v>
      </c>
      <c r="C12" s="5" t="s">
        <v>96</v>
      </c>
      <c r="D12" s="5">
        <v>107634</v>
      </c>
      <c r="E12" s="6">
        <v>44505</v>
      </c>
      <c r="G12">
        <f t="shared" si="0"/>
        <v>107634</v>
      </c>
      <c r="H12" cm="1">
        <f t="array" ref="H12">INDEX(D12:D31,MATCH(A12,A12:A31,0))</f>
        <v>107634</v>
      </c>
      <c r="I12" t="str">
        <f t="shared" si="1"/>
        <v>EMPLOYEE 11</v>
      </c>
      <c r="J12">
        <f t="shared" si="2"/>
        <v>107634</v>
      </c>
      <c r="L12">
        <f ca="1" t="shared" si="3"/>
        <v>4</v>
      </c>
      <c r="M12">
        <f ca="1" t="shared" si="4"/>
        <v>1594</v>
      </c>
      <c r="N12">
        <f ca="1" t="shared" si="5"/>
        <v>4</v>
      </c>
      <c r="O12" s="9">
        <v>44505</v>
      </c>
    </row>
    <row r="13" ht="15.15" spans="1:15">
      <c r="A13" s="4">
        <v>3012</v>
      </c>
      <c r="B13" s="5" t="s">
        <v>110</v>
      </c>
      <c r="C13" s="5" t="s">
        <v>96</v>
      </c>
      <c r="D13" s="5">
        <v>35226</v>
      </c>
      <c r="E13" s="6">
        <v>44755</v>
      </c>
      <c r="G13">
        <f t="shared" si="0"/>
        <v>35226</v>
      </c>
      <c r="H13" cm="1">
        <f t="array" ref="H13">INDEX(D13:D32,MATCH(A13,A13:A32,0))</f>
        <v>35226</v>
      </c>
      <c r="I13" t="str">
        <f t="shared" si="1"/>
        <v>EMPLOYEE 12</v>
      </c>
      <c r="J13">
        <f t="shared" si="2"/>
        <v>35226</v>
      </c>
      <c r="L13">
        <f ca="1" t="shared" si="3"/>
        <v>3</v>
      </c>
      <c r="M13">
        <f ca="1" t="shared" si="4"/>
        <v>1344</v>
      </c>
      <c r="N13">
        <f ca="1" t="shared" si="5"/>
        <v>3</v>
      </c>
      <c r="O13" s="9">
        <v>44755</v>
      </c>
    </row>
    <row r="14" ht="15.15" spans="1:15">
      <c r="A14" s="4">
        <v>3013</v>
      </c>
      <c r="B14" s="5" t="s">
        <v>111</v>
      </c>
      <c r="C14" s="5" t="s">
        <v>99</v>
      </c>
      <c r="D14" s="5">
        <v>40872</v>
      </c>
      <c r="E14" s="6">
        <v>45005</v>
      </c>
      <c r="G14">
        <f t="shared" si="0"/>
        <v>40872</v>
      </c>
      <c r="H14" cm="1">
        <f t="array" ref="H14">INDEX(D14:D33,MATCH(A14,A14:A33,0))</f>
        <v>40872</v>
      </c>
      <c r="I14" t="str">
        <f>LOWER(B14)</f>
        <v>employee 13</v>
      </c>
      <c r="J14">
        <f t="shared" si="2"/>
        <v>40872</v>
      </c>
      <c r="L14">
        <f ca="1" t="shared" si="3"/>
        <v>2</v>
      </c>
      <c r="M14">
        <f ca="1" t="shared" si="4"/>
        <v>1094</v>
      </c>
      <c r="N14">
        <f ca="1" t="shared" si="5"/>
        <v>2</v>
      </c>
      <c r="O14" s="9">
        <v>45005</v>
      </c>
    </row>
    <row r="15" ht="15.15" spans="1:15">
      <c r="A15" s="4">
        <v>3014</v>
      </c>
      <c r="B15" s="5" t="s">
        <v>112</v>
      </c>
      <c r="C15" s="5" t="s">
        <v>99</v>
      </c>
      <c r="D15" s="5">
        <v>55378</v>
      </c>
      <c r="E15" s="6">
        <v>45255</v>
      </c>
      <c r="G15">
        <f t="shared" si="0"/>
        <v>55378</v>
      </c>
      <c r="H15" cm="1">
        <f t="array" ref="H15">INDEX(D15:D34,MATCH(A15,A15:A34,0))</f>
        <v>55378</v>
      </c>
      <c r="I15" t="str">
        <f t="shared" ref="I15:I21" si="6">LOWER(B15)</f>
        <v>employee 14</v>
      </c>
      <c r="J15">
        <f t="shared" si="2"/>
        <v>55378</v>
      </c>
      <c r="L15">
        <f ca="1" t="shared" si="3"/>
        <v>2</v>
      </c>
      <c r="M15">
        <f ca="1" t="shared" si="4"/>
        <v>844</v>
      </c>
      <c r="N15">
        <f ca="1" t="shared" si="5"/>
        <v>2</v>
      </c>
      <c r="O15" s="9">
        <v>45255</v>
      </c>
    </row>
    <row r="16" ht="15.15" spans="1:15">
      <c r="A16" s="4">
        <v>3015</v>
      </c>
      <c r="B16" s="5" t="s">
        <v>113</v>
      </c>
      <c r="C16" s="5" t="s">
        <v>99</v>
      </c>
      <c r="D16" s="5">
        <v>63297</v>
      </c>
      <c r="E16" s="6">
        <v>45505</v>
      </c>
      <c r="G16">
        <f t="shared" si="0"/>
        <v>63297</v>
      </c>
      <c r="H16" cm="1">
        <f t="array" ref="H16">INDEX(D16:D35,MATCH(A16,A16:A35,0))</f>
        <v>63297</v>
      </c>
      <c r="I16" t="str">
        <f t="shared" si="6"/>
        <v>employee 15</v>
      </c>
      <c r="J16">
        <f t="shared" si="2"/>
        <v>63297</v>
      </c>
      <c r="L16">
        <f ca="1" t="shared" si="3"/>
        <v>1</v>
      </c>
      <c r="M16">
        <f ca="1" t="shared" si="4"/>
        <v>594</v>
      </c>
      <c r="N16">
        <f ca="1" t="shared" si="5"/>
        <v>1</v>
      </c>
      <c r="O16" s="9">
        <v>45505</v>
      </c>
    </row>
    <row r="17" ht="15.15" spans="1:15">
      <c r="A17" s="4">
        <v>3016</v>
      </c>
      <c r="B17" s="5" t="s">
        <v>114</v>
      </c>
      <c r="C17" s="5" t="s">
        <v>96</v>
      </c>
      <c r="D17" s="5">
        <v>114173</v>
      </c>
      <c r="E17" s="6">
        <v>45755</v>
      </c>
      <c r="G17">
        <f t="shared" si="0"/>
        <v>114173</v>
      </c>
      <c r="H17" cm="1">
        <f t="array" ref="H17">INDEX(D17:D36,MATCH(A17,A17:A36,0))</f>
        <v>114173</v>
      </c>
      <c r="I17" t="str">
        <f t="shared" si="6"/>
        <v>employee 16</v>
      </c>
      <c r="J17">
        <f t="shared" si="2"/>
        <v>114173</v>
      </c>
      <c r="M17">
        <f ca="1" t="shared" si="4"/>
        <v>344</v>
      </c>
      <c r="N17">
        <f ca="1" t="shared" si="5"/>
        <v>0</v>
      </c>
      <c r="O17" s="9">
        <v>45755</v>
      </c>
    </row>
    <row r="18" ht="15.15" spans="1:15">
      <c r="A18" s="4">
        <v>3017</v>
      </c>
      <c r="B18" s="5" t="s">
        <v>115</v>
      </c>
      <c r="C18" s="5" t="s">
        <v>99</v>
      </c>
      <c r="D18" s="5">
        <v>86915</v>
      </c>
      <c r="E18" s="6">
        <v>46005</v>
      </c>
      <c r="G18">
        <f t="shared" si="0"/>
        <v>86915</v>
      </c>
      <c r="H18" cm="1">
        <f t="array" ref="H18">INDEX(D18:D37,MATCH(A18,A18:A37,0))</f>
        <v>86915</v>
      </c>
      <c r="I18" t="str">
        <f t="shared" si="6"/>
        <v>employee 17</v>
      </c>
      <c r="J18">
        <f t="shared" si="2"/>
        <v>86915</v>
      </c>
      <c r="M18">
        <f ca="1" t="shared" si="4"/>
        <v>94</v>
      </c>
      <c r="N18">
        <f ca="1" t="shared" si="5"/>
        <v>0</v>
      </c>
      <c r="O18" s="9">
        <v>46005</v>
      </c>
    </row>
    <row r="19" ht="15.15" spans="1:15">
      <c r="A19" s="4">
        <v>3018</v>
      </c>
      <c r="B19" s="5" t="s">
        <v>116</v>
      </c>
      <c r="C19" s="5" t="s">
        <v>102</v>
      </c>
      <c r="D19" s="5">
        <v>116284</v>
      </c>
      <c r="E19" s="6">
        <v>46255</v>
      </c>
      <c r="G19">
        <f t="shared" si="0"/>
        <v>116284</v>
      </c>
      <c r="H19" cm="1">
        <f t="array" ref="H19">INDEX(D19:D38,MATCH(A19,A19:A38,0))</f>
        <v>116284</v>
      </c>
      <c r="I19" t="str">
        <f t="shared" si="6"/>
        <v>employee 18</v>
      </c>
      <c r="J19">
        <f t="shared" si="2"/>
        <v>116284</v>
      </c>
      <c r="M19">
        <f ca="1" t="shared" si="4"/>
        <v>-156</v>
      </c>
      <c r="N19">
        <f ca="1" t="shared" si="5"/>
        <v>0</v>
      </c>
      <c r="O19" s="9">
        <v>46255</v>
      </c>
    </row>
    <row r="20" ht="15.15" spans="1:15">
      <c r="A20" s="4">
        <v>3019</v>
      </c>
      <c r="B20" s="5" t="s">
        <v>117</v>
      </c>
      <c r="C20" s="5" t="s">
        <v>105</v>
      </c>
      <c r="D20" s="5">
        <v>116283</v>
      </c>
      <c r="E20" s="6">
        <v>46505</v>
      </c>
      <c r="G20">
        <f t="shared" si="0"/>
        <v>116283</v>
      </c>
      <c r="H20" cm="1">
        <f t="array" ref="H20">INDEX(D20:D39,MATCH(A20,A20:A39,0))</f>
        <v>116283</v>
      </c>
      <c r="I20" t="str">
        <f t="shared" si="6"/>
        <v>employee 19</v>
      </c>
      <c r="J20">
        <f t="shared" si="2"/>
        <v>116283</v>
      </c>
      <c r="M20">
        <f ca="1" t="shared" si="4"/>
        <v>-406</v>
      </c>
      <c r="N20">
        <f ca="1" t="shared" si="5"/>
        <v>-1</v>
      </c>
      <c r="O20" s="9">
        <v>46505</v>
      </c>
    </row>
    <row r="21" ht="15.15" spans="1:15">
      <c r="A21" s="4">
        <v>3020</v>
      </c>
      <c r="B21" s="5" t="s">
        <v>118</v>
      </c>
      <c r="C21" s="5" t="s">
        <v>105</v>
      </c>
      <c r="D21" s="5">
        <v>99924</v>
      </c>
      <c r="E21" s="6">
        <v>46755</v>
      </c>
      <c r="G21">
        <f t="shared" si="0"/>
        <v>99924</v>
      </c>
      <c r="H21" cm="1">
        <f t="array" ref="H21">INDEX(D21:D40,MATCH(A21,A21:A40,0))</f>
        <v>99924</v>
      </c>
      <c r="I21" t="str">
        <f t="shared" si="6"/>
        <v>employee 20</v>
      </c>
      <c r="J21">
        <f t="shared" si="2"/>
        <v>99924</v>
      </c>
      <c r="M21">
        <f ca="1" t="shared" si="4"/>
        <v>-656</v>
      </c>
      <c r="N21">
        <f ca="1" t="shared" si="5"/>
        <v>-1</v>
      </c>
      <c r="O21" s="9">
        <v>46755</v>
      </c>
    </row>
  </sheetData>
  <mergeCells count="1">
    <mergeCell ref="N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Students Gread</vt:lpstr>
      <vt:lpstr>Sales Data</vt:lpstr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2026-03-17T12:05:00Z</dcterms:created>
  <dcterms:modified xsi:type="dcterms:W3CDTF">2026-03-18T15:54:06Z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A3098BFF49814C93AB0785A8B5EB384B_11</vt:lpwstr>
  </property>
  <property fmtid="{D5CDD505-2E9C-101B-9397-08002B2CF9AE}" pid="3" name="KSOProductBuildVer">
    <vt:lpwstr>2057-12.2.0.23197</vt:lpwstr>
  </property>
</Properties>
</file>